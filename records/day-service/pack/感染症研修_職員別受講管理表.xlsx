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使い方" sheetId="1" state="visible" r:id="rId3"/>
    <sheet name="受講管理表" sheetId="2" state="visible" r:id="rId4"/>
    <sheet name="研修実施一覧" sheetId="3" state="visible" r:id="rId5"/>
    <sheet name="記入例_受講管理表" sheetId="4" state="visible" r:id="rId6"/>
    <sheet name="記入例_研修実施一覧" sheetId="5" state="visible" r:id="rId7"/>
    <sheet name="免責事項" sheetId="6" state="visible" r:id="rId8"/>
  </sheets>
  <definedNames>
    <definedName function="false" hidden="false" localSheetId="1" name="_xlnm.Print_Titles" vbProcedure="false">受講管理表!$7:$7</definedName>
    <definedName function="false" hidden="false" localSheetId="3" name="_xlnm.Print_Titles" vbProcedure="false">記入例_受講管理表!$7:$7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K7" authorId="0">
      <text>
        <r>
          <rPr>
            <sz val="10"/>
            <rFont val="WenQuanYi Zen Hei"/>
            <family val="2"/>
          </rPr>
          <t xml:space="preserve">定期研修①・②・欠席時フォローのどれかに日付があれば「受講済」、なければ「未受講」と表示します。</t>
        </r>
      </text>
    </comment>
    <comment ref="L7" authorId="0">
      <text>
        <r>
          <rPr>
            <sz val="10"/>
            <rFont val="WenQuanYi Zen Hei"/>
            <family val="2"/>
          </rPr>
          <t xml:space="preserve">採用日が年度開始日以降の職員について、新規採用時研修の受講日がなければ「要確認」と表示します。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K7" authorId="0">
      <text>
        <r>
          <rPr>
            <sz val="10"/>
            <rFont val="WenQuanYi Zen Hei"/>
            <family val="2"/>
          </rPr>
          <t xml:space="preserve">定期研修①・②・欠席時フォローのどれかに日付があれば「受講済」、なければ「未受講」と表示します。</t>
        </r>
      </text>
    </comment>
    <comment ref="L7" authorId="0">
      <text>
        <r>
          <rPr>
            <sz val="10"/>
            <rFont val="WenQuanYi Zen Hei"/>
            <family val="2"/>
          </rPr>
          <t xml:space="preserve">採用日が年度開始日以降の職員について、新規採用時研修の受講日がなければ「要確認」と表示します。</t>
        </r>
      </text>
    </comment>
  </commentList>
</comments>
</file>

<file path=xl/sharedStrings.xml><?xml version="1.0" encoding="utf-8"?>
<sst xmlns="http://schemas.openxmlformats.org/spreadsheetml/2006/main" count="158" uniqueCount="99">
  <si>
    <t xml:space="preserve">感染症の予防及びまん延の防止のための研修　職員別 受講管理表（通所介護・デイサービス）</t>
  </si>
  <si>
    <t xml:space="preserve">■ シートの構成</t>
  </si>
  <si>
    <r>
      <rPr>
        <sz val="10"/>
        <color rgb="FF000000"/>
        <rFont val="WenQuanYi Zen Hei"/>
        <family val="2"/>
      </rPr>
      <t xml:space="preserve">・受講管理表：職員ごとに、</t>
    </r>
    <r>
      <rPr>
        <sz val="10"/>
        <color rgb="FF000000"/>
        <rFont val="游ゴシック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年間の研修の受講日・方法・欠席時のフォローを記録します</t>
    </r>
  </si>
  <si>
    <r>
      <rPr>
        <sz val="10"/>
        <color rgb="FF000000"/>
        <rFont val="WenQuanYi Zen Hei"/>
        <family val="2"/>
      </rPr>
      <t xml:space="preserve">・研修実施一覧：年度内に実施した研修を</t>
    </r>
    <r>
      <rPr>
        <sz val="10"/>
        <color rgb="FF000000"/>
        <rFont val="游ゴシック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行ずつ記録し、定期研修の実施回数を自動で数えます</t>
    </r>
  </si>
  <si>
    <r>
      <rPr>
        <sz val="10"/>
        <color rgb="FF000000"/>
        <rFont val="WenQuanYi Zen Hei"/>
        <family val="2"/>
      </rPr>
      <t xml:space="preserve">・記入例</t>
    </r>
    <r>
      <rPr>
        <sz val="10"/>
        <color rgb="FF000000"/>
        <rFont val="游ゴシック"/>
        <family val="0"/>
        <charset val="1"/>
      </rPr>
      <t xml:space="preserve">_</t>
    </r>
    <r>
      <rPr>
        <sz val="10"/>
        <color rgb="FF000000"/>
        <rFont val="WenQuanYi Zen Hei"/>
        <family val="2"/>
      </rPr>
      <t xml:space="preserve">受講管理表／記入例</t>
    </r>
    <r>
      <rPr>
        <sz val="10"/>
        <color rgb="FF000000"/>
        <rFont val="游ゴシック"/>
        <family val="0"/>
        <charset val="1"/>
      </rPr>
      <t xml:space="preserve">_</t>
    </r>
    <r>
      <rPr>
        <sz val="10"/>
        <color rgb="FF000000"/>
        <rFont val="WenQuanYi Zen Hei"/>
        <family val="2"/>
      </rPr>
      <t xml:space="preserve">研修実施一覧：架空の職員で入力した例です</t>
    </r>
  </si>
  <si>
    <t xml:space="preserve">・免責事項：必ずお読みください</t>
  </si>
  <si>
    <t xml:space="preserve">■ 使い方</t>
  </si>
  <si>
    <r>
      <rPr>
        <sz val="10"/>
        <color rgb="FF000000"/>
        <rFont val="游ゴシック"/>
        <family val="0"/>
        <charset val="1"/>
      </rPr>
      <t xml:space="preserve">1. </t>
    </r>
    <r>
      <rPr>
        <sz val="10"/>
        <color rgb="FF000000"/>
        <rFont val="WenQuanYi Zen Hei"/>
        <family val="2"/>
      </rPr>
      <t xml:space="preserve">「受講管理表」の黄色の欄に、事業所名と年度開始日（例：</t>
    </r>
    <r>
      <rPr>
        <sz val="10"/>
        <color rgb="FF000000"/>
        <rFont val="游ゴシック"/>
        <family val="0"/>
        <charset val="1"/>
      </rPr>
      <t xml:space="preserve">2026/4/1</t>
    </r>
    <r>
      <rPr>
        <sz val="10"/>
        <color rgb="FF000000"/>
        <rFont val="WenQuanYi Zen Hei"/>
        <family val="2"/>
      </rPr>
      <t xml:space="preserve">）を入力します</t>
    </r>
  </si>
  <si>
    <r>
      <rPr>
        <sz val="10"/>
        <color rgb="FF000000"/>
        <rFont val="游ゴシック"/>
        <family val="0"/>
        <charset val="1"/>
      </rPr>
      <t xml:space="preserve">2. </t>
    </r>
    <r>
      <rPr>
        <sz val="10"/>
        <color rgb="FF000000"/>
        <rFont val="WenQuanYi Zen Hei"/>
        <family val="2"/>
      </rPr>
      <t xml:space="preserve">職員の職種・氏名・採用日を入力します（</t>
    </r>
    <r>
      <rPr>
        <sz val="10"/>
        <color rgb="FF000000"/>
        <rFont val="游ゴシック"/>
        <family val="0"/>
        <charset val="1"/>
      </rPr>
      <t xml:space="preserve">50</t>
    </r>
    <r>
      <rPr>
        <sz val="10"/>
        <color rgb="FF000000"/>
        <rFont val="WenQuanYi Zen Hei"/>
        <family val="2"/>
      </rPr>
      <t xml:space="preserve">名分あります）</t>
    </r>
  </si>
  <si>
    <r>
      <rPr>
        <sz val="10"/>
        <color rgb="FF000000"/>
        <rFont val="游ゴシック"/>
        <family val="0"/>
        <charset val="1"/>
      </rPr>
      <t xml:space="preserve">3. </t>
    </r>
    <r>
      <rPr>
        <sz val="10"/>
        <color rgb="FF000000"/>
        <rFont val="WenQuanYi Zen Hei"/>
        <family val="2"/>
      </rPr>
      <t xml:space="preserve">研修を行ったら、受講日と方法を入力します。方法はプルダウンから選べます</t>
    </r>
  </si>
  <si>
    <r>
      <rPr>
        <sz val="10"/>
        <color rgb="FF000000"/>
        <rFont val="游ゴシック"/>
        <family val="0"/>
        <charset val="1"/>
      </rPr>
      <t xml:space="preserve">4. </t>
    </r>
    <r>
      <rPr>
        <sz val="10"/>
        <color rgb="FF000000"/>
        <rFont val="WenQuanYi Zen Hei"/>
        <family val="2"/>
      </rPr>
      <t xml:space="preserve">欠席した職員に後日フォローした場合は「欠席時フォロー実施日」に入力します</t>
    </r>
  </si>
  <si>
    <r>
      <rPr>
        <sz val="10"/>
        <color rgb="FF000000"/>
        <rFont val="游ゴシック"/>
        <family val="0"/>
        <charset val="1"/>
      </rPr>
      <t xml:space="preserve">5. </t>
    </r>
    <r>
      <rPr>
        <sz val="10"/>
        <color rgb="FF000000"/>
        <rFont val="WenQuanYi Zen Hei"/>
        <family val="2"/>
      </rPr>
      <t xml:space="preserve">「定期研修の状況」に「未受講」（赤）、「新規採用時研修の状況」に「要確認」（橙）が出た職員を確認します</t>
    </r>
  </si>
  <si>
    <r>
      <rPr>
        <sz val="10"/>
        <color rgb="FF000000"/>
        <rFont val="游ゴシック"/>
        <family val="0"/>
        <charset val="1"/>
      </rPr>
      <t xml:space="preserve">6. </t>
    </r>
    <r>
      <rPr>
        <sz val="10"/>
        <color rgb="FF000000"/>
        <rFont val="WenQuanYi Zen Hei"/>
        <family val="2"/>
      </rPr>
      <t xml:space="preserve">研修ごとの記録は、別の記録用紙（</t>
    </r>
    <r>
      <rPr>
        <sz val="10"/>
        <color rgb="FF000000"/>
        <rFont val="游ゴシック"/>
        <family val="0"/>
        <charset val="1"/>
      </rPr>
      <t xml:space="preserve">Word</t>
    </r>
    <r>
      <rPr>
        <sz val="10"/>
        <color rgb="FF000000"/>
        <rFont val="WenQuanYi Zen Hei"/>
        <family val="2"/>
      </rPr>
      <t xml:space="preserve">・</t>
    </r>
    <r>
      <rPr>
        <sz val="10"/>
        <color rgb="FF000000"/>
        <rFont val="游ゴシック"/>
        <family val="0"/>
        <charset val="1"/>
      </rPr>
      <t xml:space="preserve">PDF</t>
    </r>
    <r>
      <rPr>
        <sz val="10"/>
        <color rgb="FF000000"/>
        <rFont val="WenQuanYi Zen Hei"/>
        <family val="2"/>
      </rPr>
      <t xml:space="preserve">）に作成し、この表とあわせて保管してください</t>
    </r>
  </si>
  <si>
    <t xml:space="preserve">■ 自動表示のしくみ</t>
  </si>
  <si>
    <t xml:space="preserve">・定期研修の状況：定期研修①・②・欠席時フォローのどれかに日付があれば「受講済」、なければ「未受講」</t>
  </si>
  <si>
    <t xml:space="preserve">・新規採用時研修の状況：採用日が年度開始日以降の職員で、新規採用時研修の受講日がなければ「要確認」。年度開始日より前の採用は「対象外」</t>
  </si>
  <si>
    <t xml:space="preserve">・この表示は入力内容から機械的に判定するものです。研修の実施回数や対象者の考え方は、各自治体の通知を確認してください</t>
  </si>
  <si>
    <t xml:space="preserve">■ 実在の個人情報の取り扱い</t>
  </si>
  <si>
    <t xml:space="preserve">・実際に使う場合は職員の氏名を入力するため、事業所の個人情報保護のルールに従って管理してください</t>
  </si>
  <si>
    <t xml:space="preserve">・見本として共有・配布する場合は、実在する職員の氏名を入力しないでください</t>
  </si>
  <si>
    <t xml:space="preserve">黄色の欄に入力してください。白・緑の欄は自動で計算されます。</t>
  </si>
  <si>
    <t xml:space="preserve">在籍職員数</t>
  </si>
  <si>
    <t xml:space="preserve">定期研修 受講済</t>
  </si>
  <si>
    <t xml:space="preserve">定期研修 未受講</t>
  </si>
  <si>
    <t xml:space="preserve">定期研修 受講率</t>
  </si>
  <si>
    <t xml:space="preserve">新規採用時研修 要確認</t>
  </si>
  <si>
    <t xml:space="preserve">事業所名</t>
  </si>
  <si>
    <t xml:space="preserve">年度開始日</t>
  </si>
  <si>
    <t xml:space="preserve">年度終了日</t>
  </si>
  <si>
    <t xml:space="preserve">No.</t>
  </si>
  <si>
    <t xml:space="preserve">職種</t>
  </si>
  <si>
    <t xml:space="preserve">氏名</t>
  </si>
  <si>
    <t xml:space="preserve">採用日</t>
  </si>
  <si>
    <t xml:space="preserve">新規採用時研修
受講日</t>
  </si>
  <si>
    <t xml:space="preserve">定期研修①
受講日</t>
  </si>
  <si>
    <t xml:space="preserve">①の方法</t>
  </si>
  <si>
    <t xml:space="preserve">定期研修②
受講日</t>
  </si>
  <si>
    <t xml:space="preserve">②の方法</t>
  </si>
  <si>
    <t xml:space="preserve">欠席時フォロー
実施日</t>
  </si>
  <si>
    <t xml:space="preserve">定期研修の状況
（自動）</t>
  </si>
  <si>
    <t xml:space="preserve">新規採用時研修の状況
（自動）</t>
  </si>
  <si>
    <t xml:space="preserve">備考</t>
  </si>
  <si>
    <t xml:space="preserve">感染症の予防及びまん延の防止のための研修　研修実施一覧（年度）</t>
  </si>
  <si>
    <t xml:space="preserve">年度開始日・終了日は「受講管理表」シートから自動で表示されます。</t>
  </si>
  <si>
    <t xml:space="preserve">年度</t>
  </si>
  <si>
    <t xml:space="preserve">年度内の定期研修の実施回数</t>
  </si>
  <si>
    <t xml:space="preserve">※必要な回数は各自治体の通知を確認してください</t>
  </si>
  <si>
    <t xml:space="preserve">回</t>
  </si>
  <si>
    <t xml:space="preserve">実施日</t>
  </si>
  <si>
    <t xml:space="preserve">研修名</t>
  </si>
  <si>
    <t xml:space="preserve">研修区分</t>
  </si>
  <si>
    <t xml:space="preserve">実施方法</t>
  </si>
  <si>
    <t xml:space="preserve">講師・進行担当者</t>
  </si>
  <si>
    <t xml:space="preserve">参加者数</t>
  </si>
  <si>
    <t xml:space="preserve">記録作成日</t>
  </si>
  <si>
    <t xml:space="preserve">委員会への報告日</t>
  </si>
  <si>
    <t xml:space="preserve">【記入例】感染症の予防及びまん延の防止のための研修　職員別 受講管理表（通所介護・デイサービス）</t>
  </si>
  <si>
    <t xml:space="preserve">黄色の欄に入力してください。白・緑の欄は自動で計算されます。（職員名・日付はすべて架空です）</t>
  </si>
  <si>
    <r>
      <rPr>
        <sz val="10"/>
        <color rgb="FF000000"/>
        <rFont val="WenQuanYi Zen Hei"/>
        <family val="2"/>
      </rPr>
      <t xml:space="preserve">サンプル通所介護事業所</t>
    </r>
    <r>
      <rPr>
        <sz val="10"/>
        <color rgb="FF000000"/>
        <rFont val="游ゴシック"/>
        <family val="0"/>
        <charset val="1"/>
      </rPr>
      <t xml:space="preserve">A</t>
    </r>
    <r>
      <rPr>
        <sz val="10"/>
        <color rgb="FF000000"/>
        <rFont val="WenQuanYi Zen Hei"/>
        <family val="2"/>
      </rPr>
      <t xml:space="preserve">（架空）</t>
    </r>
  </si>
  <si>
    <t xml:space="preserve">管理者</t>
  </si>
  <si>
    <r>
      <rPr>
        <sz val="10"/>
        <color rgb="FF000000"/>
        <rFont val="WenQuanYi Zen Hei"/>
        <family val="2"/>
      </rPr>
      <t xml:space="preserve">職員</t>
    </r>
    <r>
      <rPr>
        <sz val="10"/>
        <color rgb="FF000000"/>
        <rFont val="游ゴシック"/>
        <family val="0"/>
        <charset val="1"/>
      </rPr>
      <t xml:space="preserve">A</t>
    </r>
  </si>
  <si>
    <t xml:space="preserve">集合</t>
  </si>
  <si>
    <t xml:space="preserve">看護職員</t>
  </si>
  <si>
    <r>
      <rPr>
        <sz val="10"/>
        <color rgb="FF000000"/>
        <rFont val="WenQuanYi Zen Hei"/>
        <family val="2"/>
      </rPr>
      <t xml:space="preserve">職員</t>
    </r>
    <r>
      <rPr>
        <sz val="10"/>
        <color rgb="FF000000"/>
        <rFont val="游ゴシック"/>
        <family val="0"/>
        <charset val="1"/>
      </rPr>
      <t xml:space="preserve">B</t>
    </r>
  </si>
  <si>
    <r>
      <rPr>
        <sz val="10"/>
        <color rgb="FF000000"/>
        <rFont val="游ゴシック"/>
        <family val="0"/>
        <charset val="1"/>
      </rPr>
      <t xml:space="preserve">6</t>
    </r>
    <r>
      <rPr>
        <sz val="10"/>
        <color rgb="FF000000"/>
        <rFont val="WenQuanYi Zen Hei"/>
        <family val="2"/>
      </rPr>
      <t xml:space="preserve">月研修の講師</t>
    </r>
  </si>
  <si>
    <t xml:space="preserve">介護職員</t>
  </si>
  <si>
    <r>
      <rPr>
        <sz val="10"/>
        <color rgb="FF000000"/>
        <rFont val="WenQuanYi Zen Hei"/>
        <family val="2"/>
      </rPr>
      <t xml:space="preserve">職員</t>
    </r>
    <r>
      <rPr>
        <sz val="10"/>
        <color rgb="FF000000"/>
        <rFont val="游ゴシック"/>
        <family val="0"/>
        <charset val="1"/>
      </rPr>
      <t xml:space="preserve">C</t>
    </r>
  </si>
  <si>
    <t xml:space="preserve">生活相談員</t>
  </si>
  <si>
    <r>
      <rPr>
        <sz val="10"/>
        <color rgb="FF000000"/>
        <rFont val="WenQuanYi Zen Hei"/>
        <family val="2"/>
      </rPr>
      <t xml:space="preserve">職員</t>
    </r>
    <r>
      <rPr>
        <sz val="10"/>
        <color rgb="FF000000"/>
        <rFont val="游ゴシック"/>
        <family val="0"/>
        <charset val="1"/>
      </rPr>
      <t xml:space="preserve">D</t>
    </r>
  </si>
  <si>
    <r>
      <rPr>
        <sz val="10"/>
        <color rgb="FF000000"/>
        <rFont val="WenQuanYi Zen Hei"/>
        <family val="2"/>
      </rPr>
      <t xml:space="preserve">職員</t>
    </r>
    <r>
      <rPr>
        <sz val="10"/>
        <color rgb="FF000000"/>
        <rFont val="游ゴシック"/>
        <family val="0"/>
        <charset val="1"/>
      </rPr>
      <t xml:space="preserve">E</t>
    </r>
  </si>
  <si>
    <r>
      <rPr>
        <sz val="10"/>
        <color rgb="FF000000"/>
        <rFont val="游ゴシック"/>
        <family val="0"/>
        <charset val="1"/>
      </rPr>
      <t xml:space="preserve">6</t>
    </r>
    <r>
      <rPr>
        <sz val="10"/>
        <color rgb="FF000000"/>
        <rFont val="WenQuanYi Zen Hei"/>
        <family val="2"/>
      </rPr>
      <t xml:space="preserve">月研修は欠席。録画で後日受講</t>
    </r>
  </si>
  <si>
    <r>
      <rPr>
        <sz val="10"/>
        <color rgb="FF000000"/>
        <rFont val="WenQuanYi Zen Hei"/>
        <family val="2"/>
      </rPr>
      <t xml:space="preserve">職員</t>
    </r>
    <r>
      <rPr>
        <sz val="10"/>
        <color rgb="FF000000"/>
        <rFont val="游ゴシック"/>
        <family val="0"/>
        <charset val="1"/>
      </rPr>
      <t xml:space="preserve">F</t>
    </r>
  </si>
  <si>
    <r>
      <rPr>
        <sz val="10"/>
        <color rgb="FF000000"/>
        <rFont val="WenQuanYi Zen Hei"/>
        <family val="2"/>
      </rPr>
      <t xml:space="preserve">職員</t>
    </r>
    <r>
      <rPr>
        <sz val="10"/>
        <color rgb="FF000000"/>
        <rFont val="游ゴシック"/>
        <family val="0"/>
        <charset val="1"/>
      </rPr>
      <t xml:space="preserve">G</t>
    </r>
  </si>
  <si>
    <t xml:space="preserve">機能訓練指導員</t>
  </si>
  <si>
    <r>
      <rPr>
        <sz val="10"/>
        <color rgb="FF000000"/>
        <rFont val="WenQuanYi Zen Hei"/>
        <family val="2"/>
      </rPr>
      <t xml:space="preserve">職員</t>
    </r>
    <r>
      <rPr>
        <sz val="10"/>
        <color rgb="FF000000"/>
        <rFont val="游ゴシック"/>
        <family val="0"/>
        <charset val="1"/>
      </rPr>
      <t xml:space="preserve">H</t>
    </r>
  </si>
  <si>
    <r>
      <rPr>
        <sz val="10"/>
        <color rgb="FF000000"/>
        <rFont val="WenQuanYi Zen Hei"/>
        <family val="2"/>
      </rPr>
      <t xml:space="preserve">職員</t>
    </r>
    <r>
      <rPr>
        <sz val="10"/>
        <color rgb="FF000000"/>
        <rFont val="游ゴシック"/>
        <family val="0"/>
        <charset val="1"/>
      </rPr>
      <t xml:space="preserve">I</t>
    </r>
  </si>
  <si>
    <r>
      <rPr>
        <sz val="10"/>
        <color rgb="FF000000"/>
        <rFont val="WenQuanYi Zen Hei"/>
        <family val="2"/>
      </rPr>
      <t xml:space="preserve">職員</t>
    </r>
    <r>
      <rPr>
        <sz val="10"/>
        <color rgb="FF000000"/>
        <rFont val="游ゴシック"/>
        <family val="0"/>
        <charset val="1"/>
      </rPr>
      <t xml:space="preserve">J</t>
    </r>
  </si>
  <si>
    <r>
      <rPr>
        <sz val="10"/>
        <color rgb="FF000000"/>
        <rFont val="WenQuanYi Zen Hei"/>
        <family val="2"/>
      </rPr>
      <t xml:space="preserve">職員</t>
    </r>
    <r>
      <rPr>
        <sz val="10"/>
        <color rgb="FF000000"/>
        <rFont val="游ゴシック"/>
        <family val="0"/>
        <charset val="1"/>
      </rPr>
      <t xml:space="preserve">K</t>
    </r>
  </si>
  <si>
    <r>
      <rPr>
        <sz val="10"/>
        <color rgb="FF000000"/>
        <rFont val="WenQuanYi Zen Hei"/>
        <family val="2"/>
      </rPr>
      <t xml:space="preserve">職員</t>
    </r>
    <r>
      <rPr>
        <sz val="10"/>
        <color rgb="FF000000"/>
        <rFont val="游ゴシック"/>
        <family val="0"/>
        <charset val="1"/>
      </rPr>
      <t xml:space="preserve">L</t>
    </r>
  </si>
  <si>
    <r>
      <rPr>
        <sz val="10"/>
        <color rgb="FF000000"/>
        <rFont val="WenQuanYi Zen Hei"/>
        <family val="2"/>
      </rPr>
      <t xml:space="preserve">職員</t>
    </r>
    <r>
      <rPr>
        <sz val="10"/>
        <color rgb="FF000000"/>
        <rFont val="游ゴシック"/>
        <family val="0"/>
        <charset val="1"/>
      </rPr>
      <t xml:space="preserve">M</t>
    </r>
  </si>
  <si>
    <r>
      <rPr>
        <sz val="10"/>
        <color rgb="FF000000"/>
        <rFont val="WenQuanYi Zen Hei"/>
        <family val="2"/>
      </rPr>
      <t xml:space="preserve">定期研修は</t>
    </r>
    <r>
      <rPr>
        <sz val="10"/>
        <color rgb="FF000000"/>
        <rFont val="游ゴシック"/>
        <family val="0"/>
        <charset val="1"/>
      </rPr>
      <t xml:space="preserve">12</t>
    </r>
    <r>
      <rPr>
        <sz val="10"/>
        <color rgb="FF000000"/>
        <rFont val="WenQuanYi Zen Hei"/>
        <family val="2"/>
      </rPr>
      <t xml:space="preserve">月に受講予定</t>
    </r>
  </si>
  <si>
    <r>
      <rPr>
        <sz val="10"/>
        <color rgb="FF000000"/>
        <rFont val="WenQuanYi Zen Hei"/>
        <family val="2"/>
      </rPr>
      <t xml:space="preserve">職員</t>
    </r>
    <r>
      <rPr>
        <sz val="10"/>
        <color rgb="FF000000"/>
        <rFont val="游ゴシック"/>
        <family val="0"/>
        <charset val="1"/>
      </rPr>
      <t xml:space="preserve">N</t>
    </r>
  </si>
  <si>
    <r>
      <rPr>
        <sz val="10"/>
        <color rgb="FF000000"/>
        <rFont val="游ゴシック"/>
        <family val="0"/>
        <charset val="1"/>
      </rPr>
      <t xml:space="preserve">9</t>
    </r>
    <r>
      <rPr>
        <sz val="10"/>
        <color rgb="FF000000"/>
        <rFont val="WenQuanYi Zen Hei"/>
        <family val="2"/>
      </rPr>
      <t xml:space="preserve">月採用。新規採用時研修を調整中</t>
    </r>
  </si>
  <si>
    <t xml:space="preserve">【記入例】感染症の予防及びまん延の防止のための研修　研修実施一覧（年度）</t>
  </si>
  <si>
    <r>
      <rPr>
        <sz val="9"/>
        <color rgb="FF000000"/>
        <rFont val="WenQuanYi Zen Hei"/>
        <family val="2"/>
      </rPr>
      <t xml:space="preserve">年度開始日・終了日は「記入例</t>
    </r>
    <r>
      <rPr>
        <sz val="9"/>
        <color rgb="FF000000"/>
        <rFont val="游ゴシック"/>
        <family val="0"/>
        <charset val="1"/>
      </rPr>
      <t xml:space="preserve">_</t>
    </r>
    <r>
      <rPr>
        <sz val="9"/>
        <color rgb="FF000000"/>
        <rFont val="WenQuanYi Zen Hei"/>
        <family val="2"/>
      </rPr>
      <t xml:space="preserve">受講管理表」シートから自動で表示されます。</t>
    </r>
  </si>
  <si>
    <t xml:space="preserve">感染症の予防及びまん延の防止のための研修（定期）</t>
  </si>
  <si>
    <t xml:space="preserve">定期研修</t>
  </si>
  <si>
    <r>
      <rPr>
        <sz val="10"/>
        <color rgb="FF000000"/>
        <rFont val="WenQuanYi Zen Hei"/>
        <family val="2"/>
      </rPr>
      <t xml:space="preserve">看護職員・職員</t>
    </r>
    <r>
      <rPr>
        <sz val="10"/>
        <color rgb="FF000000"/>
        <rFont val="游ゴシック"/>
        <family val="0"/>
        <charset val="1"/>
      </rPr>
      <t xml:space="preserve">B</t>
    </r>
  </si>
  <si>
    <r>
      <rPr>
        <sz val="10"/>
        <color rgb="FF000000"/>
        <rFont val="WenQuanYi Zen Hei"/>
        <family val="2"/>
      </rPr>
      <t xml:space="preserve">欠席者</t>
    </r>
    <r>
      <rPr>
        <sz val="10"/>
        <color rgb="FF000000"/>
        <rFont val="游ゴシック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名は</t>
    </r>
    <r>
      <rPr>
        <sz val="10"/>
        <color rgb="FF000000"/>
        <rFont val="游ゴシック"/>
        <family val="0"/>
        <charset val="1"/>
      </rPr>
      <t xml:space="preserve">6/15</t>
    </r>
    <r>
      <rPr>
        <sz val="10"/>
        <color rgb="FF000000"/>
        <rFont val="WenQuanYi Zen Hei"/>
        <family val="2"/>
      </rPr>
      <t xml:space="preserve">・</t>
    </r>
    <r>
      <rPr>
        <sz val="10"/>
        <color rgb="FF000000"/>
        <rFont val="游ゴシック"/>
        <family val="0"/>
        <charset val="1"/>
      </rPr>
      <t xml:space="preserve">6/17</t>
    </r>
    <r>
      <rPr>
        <sz val="10"/>
        <color rgb="FF000000"/>
        <rFont val="WenQuanYi Zen Hei"/>
        <family val="2"/>
      </rPr>
      <t xml:space="preserve">に録画で受講</t>
    </r>
  </si>
  <si>
    <t xml:space="preserve">新規採用時の感染対策研修</t>
  </si>
  <si>
    <t xml:space="preserve">新規採用時研修</t>
  </si>
  <si>
    <t xml:space="preserve">免責事項</t>
  </si>
  <si>
    <r>
      <rPr>
        <b val="true"/>
        <sz val="10"/>
        <color rgb="FF000000"/>
        <rFont val="WenQuanYi Zen Hei"/>
        <family val="2"/>
      </rPr>
      <t xml:space="preserve">・本様式は</t>
    </r>
    <r>
      <rPr>
        <b val="true"/>
        <sz val="10"/>
        <color rgb="FF000000"/>
        <rFont val="游ゴシック"/>
        <family val="0"/>
        <charset val="1"/>
      </rPr>
      <t xml:space="preserve">2026</t>
    </r>
    <r>
      <rPr>
        <b val="true"/>
        <sz val="10"/>
        <color rgb="FF000000"/>
        <rFont val="WenQuanYi Zen Hei"/>
        <family val="2"/>
      </rPr>
      <t xml:space="preserve">年</t>
    </r>
    <r>
      <rPr>
        <b val="true"/>
        <sz val="10"/>
        <color rgb="FF000000"/>
        <rFont val="游ゴシック"/>
        <family val="0"/>
        <charset val="1"/>
      </rPr>
      <t xml:space="preserve">9</t>
    </r>
    <r>
      <rPr>
        <b val="true"/>
        <sz val="10"/>
        <color rgb="FF000000"/>
        <rFont val="WenQuanYi Zen Hei"/>
        <family val="2"/>
      </rPr>
      <t xml:space="preserve">月時点で作成者が確認できた情報をもとに作成しています。法令・通知は改正されます。ご利用の際は、最新の法令・通知と各自治体の条例・通知を、ご自身で必ず確認してください。</t>
    </r>
  </si>
  <si>
    <t xml:space="preserve">・本様式は記録作成・管理の参考として作成したひな形であり、法令への適合、監査・運営指導への対応、報酬の減算の回避、立入検査の通過を保証するものではありません。</t>
  </si>
  <si>
    <t xml:space="preserve">・作成者は行政書士・社会保険労務士等の専門資格者ではなく、本様式は法的助言を目的とするものではありません。</t>
  </si>
  <si>
    <t xml:space="preserve">・自動表示（受講済・未受講・要確認・実施回数）は入力内容から機械的に判定するものであり、基準を満たしているかどうかを判定するものではありません。</t>
  </si>
  <si>
    <t xml:space="preserve">・記入例の事業所名・職員名・日付はすべて架空のものであり、実在する施設・店舗・個人・自治体とは関係ありません。</t>
  </si>
  <si>
    <t xml:space="preserve">・見本として共有・配布する場合は、実在する利用者・職員の個人情報を入力しないでください。</t>
  </si>
  <si>
    <t xml:space="preserve">・本様式の利用により生じたいかなる損害についても、作成者は責任を負いかねます。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</si>
</sst>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\名"/>
    <numFmt numFmtId="166" formatCode="0%"/>
    <numFmt numFmtId="167" formatCode="yyyy/m/d"/>
    <numFmt numFmtId="168" formatCode="0\回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000000"/>
      <name val="WenQuanYi Zen Hei"/>
      <family val="2"/>
    </font>
    <font>
      <sz val="10"/>
      <color rgb="FF000000"/>
      <name val="游ゴシック"/>
      <family val="0"/>
      <charset val="1"/>
    </font>
    <font>
      <b val="true"/>
      <sz val="11"/>
      <color rgb="FF000000"/>
      <name val="WenQuanYi Zen Hei"/>
      <family val="2"/>
    </font>
    <font>
      <sz val="10"/>
      <color rgb="FF000000"/>
      <name val="WenQuanYi Zen Hei"/>
      <family val="2"/>
    </font>
    <font>
      <sz val="9"/>
      <color rgb="FF000000"/>
      <name val="WenQuanYi Zen Hei"/>
      <family val="2"/>
    </font>
    <font>
      <b val="true"/>
      <sz val="9"/>
      <color rgb="FF000000"/>
      <name val="WenQuanYi Zen Hei"/>
      <family val="2"/>
    </font>
    <font>
      <b val="true"/>
      <sz val="10"/>
      <color rgb="FF000000"/>
      <name val="WenQuanYi Zen Hei"/>
      <family val="2"/>
    </font>
    <font>
      <b val="true"/>
      <sz val="12"/>
      <color rgb="FF000000"/>
      <name val="游ゴシック"/>
      <family val="0"/>
      <charset val="1"/>
    </font>
    <font>
      <b val="true"/>
      <sz val="9"/>
      <color rgb="FF000000"/>
      <name val="游ゴシック"/>
      <family val="0"/>
      <charset val="1"/>
    </font>
    <font>
      <sz val="10"/>
      <name val="WenQuanYi Zen Hei"/>
      <family val="2"/>
    </font>
    <font>
      <sz val="9"/>
      <color rgb="FF000000"/>
      <name val="游ゴシック"/>
      <family val="0"/>
      <charset val="1"/>
    </font>
    <font>
      <b val="true"/>
      <sz val="10"/>
      <color rgb="FF000000"/>
      <name val="游ゴシック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E2EFDA"/>
      </patternFill>
    </fill>
    <fill>
      <patternFill patternType="solid">
        <fgColor rgb="FFFFF9DB"/>
        <bgColor rgb="FFFFFFFF"/>
      </patternFill>
    </fill>
    <fill>
      <patternFill patternType="solid">
        <fgColor rgb="FFE2EFDA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F8CBAD"/>
        </patternFill>
      </fill>
    </dxf>
    <dxf>
      <fill>
        <patternFill>
          <bgColor rgb="FFFFE69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9DB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0"/>
  </cols>
  <sheetData>
    <row r="1" customFormat="false" ht="17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4" t="s">
        <v>2</v>
      </c>
    </row>
    <row r="5" customFormat="false" ht="15" hidden="false" customHeight="false" outlineLevel="0" collapsed="false">
      <c r="A5" s="4" t="s">
        <v>3</v>
      </c>
    </row>
    <row r="6" customFormat="false" ht="15" hidden="false" customHeight="false" outlineLevel="0" collapsed="false">
      <c r="A6" s="4" t="s">
        <v>4</v>
      </c>
    </row>
    <row r="7" customFormat="false" ht="15" hidden="false" customHeight="false" outlineLevel="0" collapsed="false">
      <c r="A7" s="4" t="s">
        <v>5</v>
      </c>
    </row>
    <row r="8" customFormat="false" ht="15" hidden="false" customHeight="false" outlineLevel="0" collapsed="false">
      <c r="A8" s="2"/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 t="s">
        <v>11</v>
      </c>
    </row>
    <row r="15" customFormat="false" ht="15" hidden="false" customHeight="false" outlineLevel="0" collapsed="false">
      <c r="A15" s="2" t="s">
        <v>12</v>
      </c>
    </row>
    <row r="16" customFormat="false" ht="15" hidden="false" customHeight="false" outlineLevel="0" collapsed="false">
      <c r="A16" s="2"/>
    </row>
    <row r="17" customFormat="false" ht="15" hidden="false" customHeight="false" outlineLevel="0" collapsed="false">
      <c r="A17" s="3" t="s">
        <v>13</v>
      </c>
    </row>
    <row r="18" customFormat="false" ht="15" hidden="false" customHeight="false" outlineLevel="0" collapsed="false">
      <c r="A18" s="4" t="s">
        <v>14</v>
      </c>
    </row>
    <row r="19" customFormat="false" ht="15" hidden="false" customHeight="false" outlineLevel="0" collapsed="false">
      <c r="A19" s="4" t="s">
        <v>15</v>
      </c>
    </row>
    <row r="20" customFormat="false" ht="15" hidden="false" customHeight="false" outlineLevel="0" collapsed="false">
      <c r="A20" s="4" t="s">
        <v>16</v>
      </c>
    </row>
    <row r="21" customFormat="false" ht="15" hidden="false" customHeight="false" outlineLevel="0" collapsed="false">
      <c r="A21" s="2"/>
    </row>
    <row r="22" customFormat="false" ht="15" hidden="false" customHeight="false" outlineLevel="0" collapsed="false">
      <c r="A22" s="3" t="s">
        <v>17</v>
      </c>
    </row>
    <row r="23" customFormat="false" ht="15" hidden="false" customHeight="false" outlineLevel="0" collapsed="false">
      <c r="A23" s="4" t="s">
        <v>18</v>
      </c>
    </row>
    <row r="24" customFormat="false" ht="15" hidden="false" customHeight="false" outlineLevel="0" collapsed="false">
      <c r="A24" s="4" t="s">
        <v>19</v>
      </c>
    </row>
  </sheetData>
  <printOptions headings="false" gridLines="false" gridLinesSet="true" horizontalCentered="false" verticalCentered="false"/>
  <pageMargins left="0.6" right="0.6" top="0.7" bottom="0.7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5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7" topLeftCell="D8" activePane="bottomRight" state="frozen"/>
      <selection pane="topLeft" activeCell="A1" activeCellId="0" sqref="A1"/>
      <selection pane="topRight" activeCell="D1" activeCellId="0" sqref="D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1"/>
    <col collapsed="false" customWidth="true" hidden="false" outlineLevel="0" max="3" min="3" style="0" width="14"/>
    <col collapsed="false" customWidth="true" hidden="false" outlineLevel="0" max="4" min="4" style="0" width="11"/>
    <col collapsed="false" customWidth="true" hidden="false" outlineLevel="0" max="5" min="5" style="0" width="13"/>
    <col collapsed="false" customWidth="true" hidden="false" outlineLevel="0" max="6" min="6" style="0" width="12"/>
    <col collapsed="false" customWidth="true" hidden="false" outlineLevel="0" max="7" min="7" style="0" width="11"/>
    <col collapsed="false" customWidth="true" hidden="false" outlineLevel="0" max="8" min="8" style="0" width="12"/>
    <col collapsed="false" customWidth="true" hidden="false" outlineLevel="0" max="9" min="9" style="0" width="11"/>
    <col collapsed="false" customWidth="true" hidden="false" outlineLevel="0" max="11" min="10" style="0" width="13"/>
    <col collapsed="false" customWidth="true" hidden="false" outlineLevel="0" max="12" min="12" style="0" width="15"/>
    <col collapsed="false" customWidth="true" hidden="false" outlineLevel="0" max="13" min="13" style="0" width="26"/>
  </cols>
  <sheetData>
    <row r="1" customFormat="false" ht="16.15" hidden="false" customHeight="false" outlineLevel="0" collapsed="false">
      <c r="A1" s="5" t="s">
        <v>0</v>
      </c>
    </row>
    <row r="2" customFormat="false" ht="30" hidden="false" customHeight="true" outlineLevel="0" collapsed="false">
      <c r="A2" s="6" t="s">
        <v>20</v>
      </c>
      <c r="F2" s="7" t="s">
        <v>21</v>
      </c>
      <c r="G2" s="7" t="s">
        <v>22</v>
      </c>
      <c r="H2" s="7" t="s">
        <v>23</v>
      </c>
      <c r="I2" s="7" t="s">
        <v>24</v>
      </c>
      <c r="J2" s="7" t="s">
        <v>25</v>
      </c>
    </row>
    <row r="3" customFormat="false" ht="26.85" hidden="false" customHeight="false" outlineLevel="0" collapsed="false">
      <c r="A3" s="8" t="s">
        <v>26</v>
      </c>
      <c r="B3" s="9"/>
      <c r="C3" s="9"/>
      <c r="D3" s="9"/>
      <c r="F3" s="10" t="n">
        <f aca="false">COUNTA(C8:C57)</f>
        <v>0</v>
      </c>
      <c r="G3" s="10" t="n">
        <f aca="false">COUNTIF(K8:K57,"受講済")</f>
        <v>0</v>
      </c>
      <c r="H3" s="10" t="n">
        <f aca="false">COUNTIF(K8:K57,"未受講")</f>
        <v>0</v>
      </c>
      <c r="I3" s="11" t="str">
        <f aca="false">IF(F3=0,"",G3/F3)</f>
        <v/>
      </c>
      <c r="J3" s="10" t="n">
        <f aca="false">COUNTIF(L8:L57,"要確認")</f>
        <v>0</v>
      </c>
    </row>
    <row r="4" customFormat="false" ht="26.85" hidden="false" customHeight="false" outlineLevel="0" collapsed="false">
      <c r="A4" s="8" t="s">
        <v>27</v>
      </c>
      <c r="B4" s="12"/>
      <c r="C4" s="8" t="s">
        <v>28</v>
      </c>
      <c r="D4" s="13" t="str">
        <f aca="false">IF(B4="","",EDATE(B4,12)-1)</f>
        <v/>
      </c>
    </row>
    <row r="7" customFormat="false" ht="31.5" hidden="false" customHeight="true" outlineLevel="0" collapsed="false">
      <c r="A7" s="14" t="s">
        <v>29</v>
      </c>
      <c r="B7" s="7" t="s">
        <v>30</v>
      </c>
      <c r="C7" s="7" t="s">
        <v>31</v>
      </c>
      <c r="D7" s="7" t="s">
        <v>32</v>
      </c>
      <c r="E7" s="7" t="s">
        <v>33</v>
      </c>
      <c r="F7" s="7" t="s">
        <v>34</v>
      </c>
      <c r="G7" s="7" t="s">
        <v>35</v>
      </c>
      <c r="H7" s="7" t="s">
        <v>36</v>
      </c>
      <c r="I7" s="7" t="s">
        <v>37</v>
      </c>
      <c r="J7" s="7" t="s">
        <v>38</v>
      </c>
      <c r="K7" s="7" t="s">
        <v>39</v>
      </c>
      <c r="L7" s="7" t="s">
        <v>40</v>
      </c>
      <c r="M7" s="7" t="s">
        <v>41</v>
      </c>
    </row>
    <row r="8" customFormat="false" ht="15" hidden="false" customHeight="false" outlineLevel="0" collapsed="false">
      <c r="A8" s="15" t="n">
        <v>1</v>
      </c>
      <c r="B8" s="16"/>
      <c r="C8" s="9"/>
      <c r="D8" s="17"/>
      <c r="E8" s="17"/>
      <c r="F8" s="17"/>
      <c r="G8" s="16"/>
      <c r="H8" s="17"/>
      <c r="I8" s="16"/>
      <c r="J8" s="17"/>
      <c r="K8" s="15" t="str">
        <f aca="false">IF(C8="","",IF(COUNT(F8,H8,J8)&gt;0,"受講済","未受講"))</f>
        <v/>
      </c>
      <c r="L8" s="15" t="str">
        <f aca="false">IF(OR(C8="",D8="",$B$4=""),"",IF(D8&lt;$B$4,"対象外",IF(E8&lt;&gt;"","受講済","要確認")))</f>
        <v/>
      </c>
      <c r="M8" s="9"/>
    </row>
    <row r="9" customFormat="false" ht="15" hidden="false" customHeight="false" outlineLevel="0" collapsed="false">
      <c r="A9" s="15" t="n">
        <v>2</v>
      </c>
      <c r="B9" s="16"/>
      <c r="C9" s="9"/>
      <c r="D9" s="17"/>
      <c r="E9" s="17"/>
      <c r="F9" s="17"/>
      <c r="G9" s="16"/>
      <c r="H9" s="17"/>
      <c r="I9" s="16"/>
      <c r="J9" s="17"/>
      <c r="K9" s="15" t="str">
        <f aca="false">IF(C9="","",IF(COUNT(F9,H9,J9)&gt;0,"受講済","未受講"))</f>
        <v/>
      </c>
      <c r="L9" s="15" t="str">
        <f aca="false">IF(OR(C9="",D9="",$B$4=""),"",IF(D9&lt;$B$4,"対象外",IF(E9&lt;&gt;"","受講済","要確認")))</f>
        <v/>
      </c>
      <c r="M9" s="9"/>
    </row>
    <row r="10" customFormat="false" ht="15" hidden="false" customHeight="false" outlineLevel="0" collapsed="false">
      <c r="A10" s="15" t="n">
        <v>3</v>
      </c>
      <c r="B10" s="16"/>
      <c r="C10" s="9"/>
      <c r="D10" s="17"/>
      <c r="E10" s="17"/>
      <c r="F10" s="17"/>
      <c r="G10" s="16"/>
      <c r="H10" s="17"/>
      <c r="I10" s="16"/>
      <c r="J10" s="17"/>
      <c r="K10" s="15" t="str">
        <f aca="false">IF(C10="","",IF(COUNT(F10,H10,J10)&gt;0,"受講済","未受講"))</f>
        <v/>
      </c>
      <c r="L10" s="15" t="str">
        <f aca="false">IF(OR(C10="",D10="",$B$4=""),"",IF(D10&lt;$B$4,"対象外",IF(E10&lt;&gt;"","受講済","要確認")))</f>
        <v/>
      </c>
      <c r="M10" s="9"/>
    </row>
    <row r="11" customFormat="false" ht="15" hidden="false" customHeight="false" outlineLevel="0" collapsed="false">
      <c r="A11" s="15" t="n">
        <v>4</v>
      </c>
      <c r="B11" s="16"/>
      <c r="C11" s="9"/>
      <c r="D11" s="17"/>
      <c r="E11" s="17"/>
      <c r="F11" s="17"/>
      <c r="G11" s="16"/>
      <c r="H11" s="17"/>
      <c r="I11" s="16"/>
      <c r="J11" s="17"/>
      <c r="K11" s="15" t="str">
        <f aca="false">IF(C11="","",IF(COUNT(F11,H11,J11)&gt;0,"受講済","未受講"))</f>
        <v/>
      </c>
      <c r="L11" s="15" t="str">
        <f aca="false">IF(OR(C11="",D11="",$B$4=""),"",IF(D11&lt;$B$4,"対象外",IF(E11&lt;&gt;"","受講済","要確認")))</f>
        <v/>
      </c>
      <c r="M11" s="9"/>
    </row>
    <row r="12" customFormat="false" ht="15" hidden="false" customHeight="false" outlineLevel="0" collapsed="false">
      <c r="A12" s="15" t="n">
        <v>5</v>
      </c>
      <c r="B12" s="16"/>
      <c r="C12" s="9"/>
      <c r="D12" s="17"/>
      <c r="E12" s="17"/>
      <c r="F12" s="17"/>
      <c r="G12" s="16"/>
      <c r="H12" s="17"/>
      <c r="I12" s="16"/>
      <c r="J12" s="17"/>
      <c r="K12" s="15" t="str">
        <f aca="false">IF(C12="","",IF(COUNT(F12,H12,J12)&gt;0,"受講済","未受講"))</f>
        <v/>
      </c>
      <c r="L12" s="15" t="str">
        <f aca="false">IF(OR(C12="",D12="",$B$4=""),"",IF(D12&lt;$B$4,"対象外",IF(E12&lt;&gt;"","受講済","要確認")))</f>
        <v/>
      </c>
      <c r="M12" s="9"/>
    </row>
    <row r="13" customFormat="false" ht="15" hidden="false" customHeight="false" outlineLevel="0" collapsed="false">
      <c r="A13" s="15" t="n">
        <v>6</v>
      </c>
      <c r="B13" s="16"/>
      <c r="C13" s="9"/>
      <c r="D13" s="17"/>
      <c r="E13" s="17"/>
      <c r="F13" s="17"/>
      <c r="G13" s="16"/>
      <c r="H13" s="17"/>
      <c r="I13" s="16"/>
      <c r="J13" s="17"/>
      <c r="K13" s="15" t="str">
        <f aca="false">IF(C13="","",IF(COUNT(F13,H13,J13)&gt;0,"受講済","未受講"))</f>
        <v/>
      </c>
      <c r="L13" s="15" t="str">
        <f aca="false">IF(OR(C13="",D13="",$B$4=""),"",IF(D13&lt;$B$4,"対象外",IF(E13&lt;&gt;"","受講済","要確認")))</f>
        <v/>
      </c>
      <c r="M13" s="9"/>
    </row>
    <row r="14" customFormat="false" ht="15" hidden="false" customHeight="false" outlineLevel="0" collapsed="false">
      <c r="A14" s="15" t="n">
        <v>7</v>
      </c>
      <c r="B14" s="16"/>
      <c r="C14" s="9"/>
      <c r="D14" s="17"/>
      <c r="E14" s="17"/>
      <c r="F14" s="17"/>
      <c r="G14" s="16"/>
      <c r="H14" s="17"/>
      <c r="I14" s="16"/>
      <c r="J14" s="17"/>
      <c r="K14" s="15" t="str">
        <f aca="false">IF(C14="","",IF(COUNT(F14,H14,J14)&gt;0,"受講済","未受講"))</f>
        <v/>
      </c>
      <c r="L14" s="15" t="str">
        <f aca="false">IF(OR(C14="",D14="",$B$4=""),"",IF(D14&lt;$B$4,"対象外",IF(E14&lt;&gt;"","受講済","要確認")))</f>
        <v/>
      </c>
      <c r="M14" s="9"/>
    </row>
    <row r="15" customFormat="false" ht="15" hidden="false" customHeight="false" outlineLevel="0" collapsed="false">
      <c r="A15" s="15" t="n">
        <v>8</v>
      </c>
      <c r="B15" s="16"/>
      <c r="C15" s="9"/>
      <c r="D15" s="17"/>
      <c r="E15" s="17"/>
      <c r="F15" s="17"/>
      <c r="G15" s="16"/>
      <c r="H15" s="17"/>
      <c r="I15" s="16"/>
      <c r="J15" s="17"/>
      <c r="K15" s="15" t="str">
        <f aca="false">IF(C15="","",IF(COUNT(F15,H15,J15)&gt;0,"受講済","未受講"))</f>
        <v/>
      </c>
      <c r="L15" s="15" t="str">
        <f aca="false">IF(OR(C15="",D15="",$B$4=""),"",IF(D15&lt;$B$4,"対象外",IF(E15&lt;&gt;"","受講済","要確認")))</f>
        <v/>
      </c>
      <c r="M15" s="9"/>
    </row>
    <row r="16" customFormat="false" ht="15" hidden="false" customHeight="false" outlineLevel="0" collapsed="false">
      <c r="A16" s="15" t="n">
        <v>9</v>
      </c>
      <c r="B16" s="16"/>
      <c r="C16" s="9"/>
      <c r="D16" s="17"/>
      <c r="E16" s="17"/>
      <c r="F16" s="17"/>
      <c r="G16" s="16"/>
      <c r="H16" s="17"/>
      <c r="I16" s="16"/>
      <c r="J16" s="17"/>
      <c r="K16" s="15" t="str">
        <f aca="false">IF(C16="","",IF(COUNT(F16,H16,J16)&gt;0,"受講済","未受講"))</f>
        <v/>
      </c>
      <c r="L16" s="15" t="str">
        <f aca="false">IF(OR(C16="",D16="",$B$4=""),"",IF(D16&lt;$B$4,"対象外",IF(E16&lt;&gt;"","受講済","要確認")))</f>
        <v/>
      </c>
      <c r="M16" s="9"/>
    </row>
    <row r="17" customFormat="false" ht="15" hidden="false" customHeight="false" outlineLevel="0" collapsed="false">
      <c r="A17" s="15" t="n">
        <v>10</v>
      </c>
      <c r="B17" s="16"/>
      <c r="C17" s="9"/>
      <c r="D17" s="17"/>
      <c r="E17" s="17"/>
      <c r="F17" s="17"/>
      <c r="G17" s="16"/>
      <c r="H17" s="17"/>
      <c r="I17" s="16"/>
      <c r="J17" s="17"/>
      <c r="K17" s="15" t="str">
        <f aca="false">IF(C17="","",IF(COUNT(F17,H17,J17)&gt;0,"受講済","未受講"))</f>
        <v/>
      </c>
      <c r="L17" s="15" t="str">
        <f aca="false">IF(OR(C17="",D17="",$B$4=""),"",IF(D17&lt;$B$4,"対象外",IF(E17&lt;&gt;"","受講済","要確認")))</f>
        <v/>
      </c>
      <c r="M17" s="9"/>
    </row>
    <row r="18" customFormat="false" ht="15" hidden="false" customHeight="false" outlineLevel="0" collapsed="false">
      <c r="A18" s="15" t="n">
        <v>11</v>
      </c>
      <c r="B18" s="16"/>
      <c r="C18" s="9"/>
      <c r="D18" s="17"/>
      <c r="E18" s="17"/>
      <c r="F18" s="17"/>
      <c r="G18" s="16"/>
      <c r="H18" s="17"/>
      <c r="I18" s="16"/>
      <c r="J18" s="17"/>
      <c r="K18" s="15" t="str">
        <f aca="false">IF(C18="","",IF(COUNT(F18,H18,J18)&gt;0,"受講済","未受講"))</f>
        <v/>
      </c>
      <c r="L18" s="15" t="str">
        <f aca="false">IF(OR(C18="",D18="",$B$4=""),"",IF(D18&lt;$B$4,"対象外",IF(E18&lt;&gt;"","受講済","要確認")))</f>
        <v/>
      </c>
      <c r="M18" s="9"/>
    </row>
    <row r="19" customFormat="false" ht="15" hidden="false" customHeight="false" outlineLevel="0" collapsed="false">
      <c r="A19" s="15" t="n">
        <v>12</v>
      </c>
      <c r="B19" s="16"/>
      <c r="C19" s="9"/>
      <c r="D19" s="17"/>
      <c r="E19" s="17"/>
      <c r="F19" s="17"/>
      <c r="G19" s="16"/>
      <c r="H19" s="17"/>
      <c r="I19" s="16"/>
      <c r="J19" s="17"/>
      <c r="K19" s="15" t="str">
        <f aca="false">IF(C19="","",IF(COUNT(F19,H19,J19)&gt;0,"受講済","未受講"))</f>
        <v/>
      </c>
      <c r="L19" s="15" t="str">
        <f aca="false">IF(OR(C19="",D19="",$B$4=""),"",IF(D19&lt;$B$4,"対象外",IF(E19&lt;&gt;"","受講済","要確認")))</f>
        <v/>
      </c>
      <c r="M19" s="9"/>
    </row>
    <row r="20" customFormat="false" ht="15" hidden="false" customHeight="false" outlineLevel="0" collapsed="false">
      <c r="A20" s="15" t="n">
        <v>13</v>
      </c>
      <c r="B20" s="16"/>
      <c r="C20" s="9"/>
      <c r="D20" s="17"/>
      <c r="E20" s="17"/>
      <c r="F20" s="17"/>
      <c r="G20" s="16"/>
      <c r="H20" s="17"/>
      <c r="I20" s="16"/>
      <c r="J20" s="17"/>
      <c r="K20" s="15" t="str">
        <f aca="false">IF(C20="","",IF(COUNT(F20,H20,J20)&gt;0,"受講済","未受講"))</f>
        <v/>
      </c>
      <c r="L20" s="15" t="str">
        <f aca="false">IF(OR(C20="",D20="",$B$4=""),"",IF(D20&lt;$B$4,"対象外",IF(E20&lt;&gt;"","受講済","要確認")))</f>
        <v/>
      </c>
      <c r="M20" s="9"/>
    </row>
    <row r="21" customFormat="false" ht="15" hidden="false" customHeight="false" outlineLevel="0" collapsed="false">
      <c r="A21" s="15" t="n">
        <v>14</v>
      </c>
      <c r="B21" s="16"/>
      <c r="C21" s="9"/>
      <c r="D21" s="17"/>
      <c r="E21" s="17"/>
      <c r="F21" s="17"/>
      <c r="G21" s="16"/>
      <c r="H21" s="17"/>
      <c r="I21" s="16"/>
      <c r="J21" s="17"/>
      <c r="K21" s="15" t="str">
        <f aca="false">IF(C21="","",IF(COUNT(F21,H21,J21)&gt;0,"受講済","未受講"))</f>
        <v/>
      </c>
      <c r="L21" s="15" t="str">
        <f aca="false">IF(OR(C21="",D21="",$B$4=""),"",IF(D21&lt;$B$4,"対象外",IF(E21&lt;&gt;"","受講済","要確認")))</f>
        <v/>
      </c>
      <c r="M21" s="9"/>
    </row>
    <row r="22" customFormat="false" ht="15" hidden="false" customHeight="false" outlineLevel="0" collapsed="false">
      <c r="A22" s="15" t="n">
        <v>15</v>
      </c>
      <c r="B22" s="16"/>
      <c r="C22" s="9"/>
      <c r="D22" s="17"/>
      <c r="E22" s="17"/>
      <c r="F22" s="17"/>
      <c r="G22" s="16"/>
      <c r="H22" s="17"/>
      <c r="I22" s="16"/>
      <c r="J22" s="17"/>
      <c r="K22" s="15" t="str">
        <f aca="false">IF(C22="","",IF(COUNT(F22,H22,J22)&gt;0,"受講済","未受講"))</f>
        <v/>
      </c>
      <c r="L22" s="15" t="str">
        <f aca="false">IF(OR(C22="",D22="",$B$4=""),"",IF(D22&lt;$B$4,"対象外",IF(E22&lt;&gt;"","受講済","要確認")))</f>
        <v/>
      </c>
      <c r="M22" s="9"/>
    </row>
    <row r="23" customFormat="false" ht="15" hidden="false" customHeight="false" outlineLevel="0" collapsed="false">
      <c r="A23" s="15" t="n">
        <v>16</v>
      </c>
      <c r="B23" s="16"/>
      <c r="C23" s="9"/>
      <c r="D23" s="17"/>
      <c r="E23" s="17"/>
      <c r="F23" s="17"/>
      <c r="G23" s="16"/>
      <c r="H23" s="17"/>
      <c r="I23" s="16"/>
      <c r="J23" s="17"/>
      <c r="K23" s="15" t="str">
        <f aca="false">IF(C23="","",IF(COUNT(F23,H23,J23)&gt;0,"受講済","未受講"))</f>
        <v/>
      </c>
      <c r="L23" s="15" t="str">
        <f aca="false">IF(OR(C23="",D23="",$B$4=""),"",IF(D23&lt;$B$4,"対象外",IF(E23&lt;&gt;"","受講済","要確認")))</f>
        <v/>
      </c>
      <c r="M23" s="9"/>
    </row>
    <row r="24" customFormat="false" ht="15" hidden="false" customHeight="false" outlineLevel="0" collapsed="false">
      <c r="A24" s="15" t="n">
        <v>17</v>
      </c>
      <c r="B24" s="16"/>
      <c r="C24" s="9"/>
      <c r="D24" s="17"/>
      <c r="E24" s="17"/>
      <c r="F24" s="17"/>
      <c r="G24" s="16"/>
      <c r="H24" s="17"/>
      <c r="I24" s="16"/>
      <c r="J24" s="17"/>
      <c r="K24" s="15" t="str">
        <f aca="false">IF(C24="","",IF(COUNT(F24,H24,J24)&gt;0,"受講済","未受講"))</f>
        <v/>
      </c>
      <c r="L24" s="15" t="str">
        <f aca="false">IF(OR(C24="",D24="",$B$4=""),"",IF(D24&lt;$B$4,"対象外",IF(E24&lt;&gt;"","受講済","要確認")))</f>
        <v/>
      </c>
      <c r="M24" s="9"/>
    </row>
    <row r="25" customFormat="false" ht="15" hidden="false" customHeight="false" outlineLevel="0" collapsed="false">
      <c r="A25" s="15" t="n">
        <v>18</v>
      </c>
      <c r="B25" s="16"/>
      <c r="C25" s="9"/>
      <c r="D25" s="17"/>
      <c r="E25" s="17"/>
      <c r="F25" s="17"/>
      <c r="G25" s="16"/>
      <c r="H25" s="17"/>
      <c r="I25" s="16"/>
      <c r="J25" s="17"/>
      <c r="K25" s="15" t="str">
        <f aca="false">IF(C25="","",IF(COUNT(F25,H25,J25)&gt;0,"受講済","未受講"))</f>
        <v/>
      </c>
      <c r="L25" s="15" t="str">
        <f aca="false">IF(OR(C25="",D25="",$B$4=""),"",IF(D25&lt;$B$4,"対象外",IF(E25&lt;&gt;"","受講済","要確認")))</f>
        <v/>
      </c>
      <c r="M25" s="9"/>
    </row>
    <row r="26" customFormat="false" ht="15" hidden="false" customHeight="false" outlineLevel="0" collapsed="false">
      <c r="A26" s="15" t="n">
        <v>19</v>
      </c>
      <c r="B26" s="16"/>
      <c r="C26" s="9"/>
      <c r="D26" s="17"/>
      <c r="E26" s="17"/>
      <c r="F26" s="17"/>
      <c r="G26" s="16"/>
      <c r="H26" s="17"/>
      <c r="I26" s="16"/>
      <c r="J26" s="17"/>
      <c r="K26" s="15" t="str">
        <f aca="false">IF(C26="","",IF(COUNT(F26,H26,J26)&gt;0,"受講済","未受講"))</f>
        <v/>
      </c>
      <c r="L26" s="15" t="str">
        <f aca="false">IF(OR(C26="",D26="",$B$4=""),"",IF(D26&lt;$B$4,"対象外",IF(E26&lt;&gt;"","受講済","要確認")))</f>
        <v/>
      </c>
      <c r="M26" s="9"/>
    </row>
    <row r="27" customFormat="false" ht="15" hidden="false" customHeight="false" outlineLevel="0" collapsed="false">
      <c r="A27" s="15" t="n">
        <v>20</v>
      </c>
      <c r="B27" s="16"/>
      <c r="C27" s="9"/>
      <c r="D27" s="17"/>
      <c r="E27" s="17"/>
      <c r="F27" s="17"/>
      <c r="G27" s="16"/>
      <c r="H27" s="17"/>
      <c r="I27" s="16"/>
      <c r="J27" s="17"/>
      <c r="K27" s="15" t="str">
        <f aca="false">IF(C27="","",IF(COUNT(F27,H27,J27)&gt;0,"受講済","未受講"))</f>
        <v/>
      </c>
      <c r="L27" s="15" t="str">
        <f aca="false">IF(OR(C27="",D27="",$B$4=""),"",IF(D27&lt;$B$4,"対象外",IF(E27&lt;&gt;"","受講済","要確認")))</f>
        <v/>
      </c>
      <c r="M27" s="9"/>
    </row>
    <row r="28" customFormat="false" ht="15" hidden="false" customHeight="false" outlineLevel="0" collapsed="false">
      <c r="A28" s="15" t="n">
        <v>21</v>
      </c>
      <c r="B28" s="16"/>
      <c r="C28" s="9"/>
      <c r="D28" s="17"/>
      <c r="E28" s="17"/>
      <c r="F28" s="17"/>
      <c r="G28" s="16"/>
      <c r="H28" s="17"/>
      <c r="I28" s="16"/>
      <c r="J28" s="17"/>
      <c r="K28" s="15" t="str">
        <f aca="false">IF(C28="","",IF(COUNT(F28,H28,J28)&gt;0,"受講済","未受講"))</f>
        <v/>
      </c>
      <c r="L28" s="15" t="str">
        <f aca="false">IF(OR(C28="",D28="",$B$4=""),"",IF(D28&lt;$B$4,"対象外",IF(E28&lt;&gt;"","受講済","要確認")))</f>
        <v/>
      </c>
      <c r="M28" s="9"/>
    </row>
    <row r="29" customFormat="false" ht="15" hidden="false" customHeight="false" outlineLevel="0" collapsed="false">
      <c r="A29" s="15" t="n">
        <v>22</v>
      </c>
      <c r="B29" s="16"/>
      <c r="C29" s="9"/>
      <c r="D29" s="17"/>
      <c r="E29" s="17"/>
      <c r="F29" s="17"/>
      <c r="G29" s="16"/>
      <c r="H29" s="17"/>
      <c r="I29" s="16"/>
      <c r="J29" s="17"/>
      <c r="K29" s="15" t="str">
        <f aca="false">IF(C29="","",IF(COUNT(F29,H29,J29)&gt;0,"受講済","未受講"))</f>
        <v/>
      </c>
      <c r="L29" s="15" t="str">
        <f aca="false">IF(OR(C29="",D29="",$B$4=""),"",IF(D29&lt;$B$4,"対象外",IF(E29&lt;&gt;"","受講済","要確認")))</f>
        <v/>
      </c>
      <c r="M29" s="9"/>
    </row>
    <row r="30" customFormat="false" ht="15" hidden="false" customHeight="false" outlineLevel="0" collapsed="false">
      <c r="A30" s="15" t="n">
        <v>23</v>
      </c>
      <c r="B30" s="16"/>
      <c r="C30" s="9"/>
      <c r="D30" s="17"/>
      <c r="E30" s="17"/>
      <c r="F30" s="17"/>
      <c r="G30" s="16"/>
      <c r="H30" s="17"/>
      <c r="I30" s="16"/>
      <c r="J30" s="17"/>
      <c r="K30" s="15" t="str">
        <f aca="false">IF(C30="","",IF(COUNT(F30,H30,J30)&gt;0,"受講済","未受講"))</f>
        <v/>
      </c>
      <c r="L30" s="15" t="str">
        <f aca="false">IF(OR(C30="",D30="",$B$4=""),"",IF(D30&lt;$B$4,"対象外",IF(E30&lt;&gt;"","受講済","要確認")))</f>
        <v/>
      </c>
      <c r="M30" s="9"/>
    </row>
    <row r="31" customFormat="false" ht="15" hidden="false" customHeight="false" outlineLevel="0" collapsed="false">
      <c r="A31" s="15" t="n">
        <v>24</v>
      </c>
      <c r="B31" s="16"/>
      <c r="C31" s="9"/>
      <c r="D31" s="17"/>
      <c r="E31" s="17"/>
      <c r="F31" s="17"/>
      <c r="G31" s="16"/>
      <c r="H31" s="17"/>
      <c r="I31" s="16"/>
      <c r="J31" s="17"/>
      <c r="K31" s="15" t="str">
        <f aca="false">IF(C31="","",IF(COUNT(F31,H31,J31)&gt;0,"受講済","未受講"))</f>
        <v/>
      </c>
      <c r="L31" s="15" t="str">
        <f aca="false">IF(OR(C31="",D31="",$B$4=""),"",IF(D31&lt;$B$4,"対象外",IF(E31&lt;&gt;"","受講済","要確認")))</f>
        <v/>
      </c>
      <c r="M31" s="9"/>
    </row>
    <row r="32" customFormat="false" ht="15" hidden="false" customHeight="false" outlineLevel="0" collapsed="false">
      <c r="A32" s="15" t="n">
        <v>25</v>
      </c>
      <c r="B32" s="16"/>
      <c r="C32" s="9"/>
      <c r="D32" s="17"/>
      <c r="E32" s="17"/>
      <c r="F32" s="17"/>
      <c r="G32" s="16"/>
      <c r="H32" s="17"/>
      <c r="I32" s="16"/>
      <c r="J32" s="17"/>
      <c r="K32" s="15" t="str">
        <f aca="false">IF(C32="","",IF(COUNT(F32,H32,J32)&gt;0,"受講済","未受講"))</f>
        <v/>
      </c>
      <c r="L32" s="15" t="str">
        <f aca="false">IF(OR(C32="",D32="",$B$4=""),"",IF(D32&lt;$B$4,"対象外",IF(E32&lt;&gt;"","受講済","要確認")))</f>
        <v/>
      </c>
      <c r="M32" s="9"/>
    </row>
    <row r="33" customFormat="false" ht="15" hidden="false" customHeight="false" outlineLevel="0" collapsed="false">
      <c r="A33" s="15" t="n">
        <v>26</v>
      </c>
      <c r="B33" s="16"/>
      <c r="C33" s="9"/>
      <c r="D33" s="17"/>
      <c r="E33" s="17"/>
      <c r="F33" s="17"/>
      <c r="G33" s="16"/>
      <c r="H33" s="17"/>
      <c r="I33" s="16"/>
      <c r="J33" s="17"/>
      <c r="K33" s="15" t="str">
        <f aca="false">IF(C33="","",IF(COUNT(F33,H33,J33)&gt;0,"受講済","未受講"))</f>
        <v/>
      </c>
      <c r="L33" s="15" t="str">
        <f aca="false">IF(OR(C33="",D33="",$B$4=""),"",IF(D33&lt;$B$4,"対象外",IF(E33&lt;&gt;"","受講済","要確認")))</f>
        <v/>
      </c>
      <c r="M33" s="9"/>
    </row>
    <row r="34" customFormat="false" ht="15" hidden="false" customHeight="false" outlineLevel="0" collapsed="false">
      <c r="A34" s="15" t="n">
        <v>27</v>
      </c>
      <c r="B34" s="16"/>
      <c r="C34" s="9"/>
      <c r="D34" s="17"/>
      <c r="E34" s="17"/>
      <c r="F34" s="17"/>
      <c r="G34" s="16"/>
      <c r="H34" s="17"/>
      <c r="I34" s="16"/>
      <c r="J34" s="17"/>
      <c r="K34" s="15" t="str">
        <f aca="false">IF(C34="","",IF(COUNT(F34,H34,J34)&gt;0,"受講済","未受講"))</f>
        <v/>
      </c>
      <c r="L34" s="15" t="str">
        <f aca="false">IF(OR(C34="",D34="",$B$4=""),"",IF(D34&lt;$B$4,"対象外",IF(E34&lt;&gt;"","受講済","要確認")))</f>
        <v/>
      </c>
      <c r="M34" s="9"/>
    </row>
    <row r="35" customFormat="false" ht="15" hidden="false" customHeight="false" outlineLevel="0" collapsed="false">
      <c r="A35" s="15" t="n">
        <v>28</v>
      </c>
      <c r="B35" s="16"/>
      <c r="C35" s="9"/>
      <c r="D35" s="17"/>
      <c r="E35" s="17"/>
      <c r="F35" s="17"/>
      <c r="G35" s="16"/>
      <c r="H35" s="17"/>
      <c r="I35" s="16"/>
      <c r="J35" s="17"/>
      <c r="K35" s="15" t="str">
        <f aca="false">IF(C35="","",IF(COUNT(F35,H35,J35)&gt;0,"受講済","未受講"))</f>
        <v/>
      </c>
      <c r="L35" s="15" t="str">
        <f aca="false">IF(OR(C35="",D35="",$B$4=""),"",IF(D35&lt;$B$4,"対象外",IF(E35&lt;&gt;"","受講済","要確認")))</f>
        <v/>
      </c>
      <c r="M35" s="9"/>
    </row>
    <row r="36" customFormat="false" ht="15" hidden="false" customHeight="false" outlineLevel="0" collapsed="false">
      <c r="A36" s="15" t="n">
        <v>29</v>
      </c>
      <c r="B36" s="16"/>
      <c r="C36" s="9"/>
      <c r="D36" s="17"/>
      <c r="E36" s="17"/>
      <c r="F36" s="17"/>
      <c r="G36" s="16"/>
      <c r="H36" s="17"/>
      <c r="I36" s="16"/>
      <c r="J36" s="17"/>
      <c r="K36" s="15" t="str">
        <f aca="false">IF(C36="","",IF(COUNT(F36,H36,J36)&gt;0,"受講済","未受講"))</f>
        <v/>
      </c>
      <c r="L36" s="15" t="str">
        <f aca="false">IF(OR(C36="",D36="",$B$4=""),"",IF(D36&lt;$B$4,"対象外",IF(E36&lt;&gt;"","受講済","要確認")))</f>
        <v/>
      </c>
      <c r="M36" s="9"/>
    </row>
    <row r="37" customFormat="false" ht="15" hidden="false" customHeight="false" outlineLevel="0" collapsed="false">
      <c r="A37" s="15" t="n">
        <v>30</v>
      </c>
      <c r="B37" s="16"/>
      <c r="C37" s="9"/>
      <c r="D37" s="17"/>
      <c r="E37" s="17"/>
      <c r="F37" s="17"/>
      <c r="G37" s="16"/>
      <c r="H37" s="17"/>
      <c r="I37" s="16"/>
      <c r="J37" s="17"/>
      <c r="K37" s="15" t="str">
        <f aca="false">IF(C37="","",IF(COUNT(F37,H37,J37)&gt;0,"受講済","未受講"))</f>
        <v/>
      </c>
      <c r="L37" s="15" t="str">
        <f aca="false">IF(OR(C37="",D37="",$B$4=""),"",IF(D37&lt;$B$4,"対象外",IF(E37&lt;&gt;"","受講済","要確認")))</f>
        <v/>
      </c>
      <c r="M37" s="9"/>
    </row>
    <row r="38" customFormat="false" ht="15" hidden="false" customHeight="false" outlineLevel="0" collapsed="false">
      <c r="A38" s="15" t="n">
        <v>31</v>
      </c>
      <c r="B38" s="16"/>
      <c r="C38" s="9"/>
      <c r="D38" s="17"/>
      <c r="E38" s="17"/>
      <c r="F38" s="17"/>
      <c r="G38" s="16"/>
      <c r="H38" s="17"/>
      <c r="I38" s="16"/>
      <c r="J38" s="17"/>
      <c r="K38" s="15" t="str">
        <f aca="false">IF(C38="","",IF(COUNT(F38,H38,J38)&gt;0,"受講済","未受講"))</f>
        <v/>
      </c>
      <c r="L38" s="15" t="str">
        <f aca="false">IF(OR(C38="",D38="",$B$4=""),"",IF(D38&lt;$B$4,"対象外",IF(E38&lt;&gt;"","受講済","要確認")))</f>
        <v/>
      </c>
      <c r="M38" s="9"/>
    </row>
    <row r="39" customFormat="false" ht="15" hidden="false" customHeight="false" outlineLevel="0" collapsed="false">
      <c r="A39" s="15" t="n">
        <v>32</v>
      </c>
      <c r="B39" s="16"/>
      <c r="C39" s="9"/>
      <c r="D39" s="17"/>
      <c r="E39" s="17"/>
      <c r="F39" s="17"/>
      <c r="G39" s="16"/>
      <c r="H39" s="17"/>
      <c r="I39" s="16"/>
      <c r="J39" s="17"/>
      <c r="K39" s="15" t="str">
        <f aca="false">IF(C39="","",IF(COUNT(F39,H39,J39)&gt;0,"受講済","未受講"))</f>
        <v/>
      </c>
      <c r="L39" s="15" t="str">
        <f aca="false">IF(OR(C39="",D39="",$B$4=""),"",IF(D39&lt;$B$4,"対象外",IF(E39&lt;&gt;"","受講済","要確認")))</f>
        <v/>
      </c>
      <c r="M39" s="9"/>
    </row>
    <row r="40" customFormat="false" ht="15" hidden="false" customHeight="false" outlineLevel="0" collapsed="false">
      <c r="A40" s="15" t="n">
        <v>33</v>
      </c>
      <c r="B40" s="16"/>
      <c r="C40" s="9"/>
      <c r="D40" s="17"/>
      <c r="E40" s="17"/>
      <c r="F40" s="17"/>
      <c r="G40" s="16"/>
      <c r="H40" s="17"/>
      <c r="I40" s="16"/>
      <c r="J40" s="17"/>
      <c r="K40" s="15" t="str">
        <f aca="false">IF(C40="","",IF(COUNT(F40,H40,J40)&gt;0,"受講済","未受講"))</f>
        <v/>
      </c>
      <c r="L40" s="15" t="str">
        <f aca="false">IF(OR(C40="",D40="",$B$4=""),"",IF(D40&lt;$B$4,"対象外",IF(E40&lt;&gt;"","受講済","要確認")))</f>
        <v/>
      </c>
      <c r="M40" s="9"/>
    </row>
    <row r="41" customFormat="false" ht="15" hidden="false" customHeight="false" outlineLevel="0" collapsed="false">
      <c r="A41" s="15" t="n">
        <v>34</v>
      </c>
      <c r="B41" s="16"/>
      <c r="C41" s="9"/>
      <c r="D41" s="17"/>
      <c r="E41" s="17"/>
      <c r="F41" s="17"/>
      <c r="G41" s="16"/>
      <c r="H41" s="17"/>
      <c r="I41" s="16"/>
      <c r="J41" s="17"/>
      <c r="K41" s="15" t="str">
        <f aca="false">IF(C41="","",IF(COUNT(F41,H41,J41)&gt;0,"受講済","未受講"))</f>
        <v/>
      </c>
      <c r="L41" s="15" t="str">
        <f aca="false">IF(OR(C41="",D41="",$B$4=""),"",IF(D41&lt;$B$4,"対象外",IF(E41&lt;&gt;"","受講済","要確認")))</f>
        <v/>
      </c>
      <c r="M41" s="9"/>
    </row>
    <row r="42" customFormat="false" ht="15" hidden="false" customHeight="false" outlineLevel="0" collapsed="false">
      <c r="A42" s="15" t="n">
        <v>35</v>
      </c>
      <c r="B42" s="16"/>
      <c r="C42" s="9"/>
      <c r="D42" s="17"/>
      <c r="E42" s="17"/>
      <c r="F42" s="17"/>
      <c r="G42" s="16"/>
      <c r="H42" s="17"/>
      <c r="I42" s="16"/>
      <c r="J42" s="17"/>
      <c r="K42" s="15" t="str">
        <f aca="false">IF(C42="","",IF(COUNT(F42,H42,J42)&gt;0,"受講済","未受講"))</f>
        <v/>
      </c>
      <c r="L42" s="15" t="str">
        <f aca="false">IF(OR(C42="",D42="",$B$4=""),"",IF(D42&lt;$B$4,"対象外",IF(E42&lt;&gt;"","受講済","要確認")))</f>
        <v/>
      </c>
      <c r="M42" s="9"/>
    </row>
    <row r="43" customFormat="false" ht="15" hidden="false" customHeight="false" outlineLevel="0" collapsed="false">
      <c r="A43" s="15" t="n">
        <v>36</v>
      </c>
      <c r="B43" s="16"/>
      <c r="C43" s="9"/>
      <c r="D43" s="17"/>
      <c r="E43" s="17"/>
      <c r="F43" s="17"/>
      <c r="G43" s="16"/>
      <c r="H43" s="17"/>
      <c r="I43" s="16"/>
      <c r="J43" s="17"/>
      <c r="K43" s="15" t="str">
        <f aca="false">IF(C43="","",IF(COUNT(F43,H43,J43)&gt;0,"受講済","未受講"))</f>
        <v/>
      </c>
      <c r="L43" s="15" t="str">
        <f aca="false">IF(OR(C43="",D43="",$B$4=""),"",IF(D43&lt;$B$4,"対象外",IF(E43&lt;&gt;"","受講済","要確認")))</f>
        <v/>
      </c>
      <c r="M43" s="9"/>
    </row>
    <row r="44" customFormat="false" ht="15" hidden="false" customHeight="false" outlineLevel="0" collapsed="false">
      <c r="A44" s="15" t="n">
        <v>37</v>
      </c>
      <c r="B44" s="16"/>
      <c r="C44" s="9"/>
      <c r="D44" s="17"/>
      <c r="E44" s="17"/>
      <c r="F44" s="17"/>
      <c r="G44" s="16"/>
      <c r="H44" s="17"/>
      <c r="I44" s="16"/>
      <c r="J44" s="17"/>
      <c r="K44" s="15" t="str">
        <f aca="false">IF(C44="","",IF(COUNT(F44,H44,J44)&gt;0,"受講済","未受講"))</f>
        <v/>
      </c>
      <c r="L44" s="15" t="str">
        <f aca="false">IF(OR(C44="",D44="",$B$4=""),"",IF(D44&lt;$B$4,"対象外",IF(E44&lt;&gt;"","受講済","要確認")))</f>
        <v/>
      </c>
      <c r="M44" s="9"/>
    </row>
    <row r="45" customFormat="false" ht="15" hidden="false" customHeight="false" outlineLevel="0" collapsed="false">
      <c r="A45" s="15" t="n">
        <v>38</v>
      </c>
      <c r="B45" s="16"/>
      <c r="C45" s="9"/>
      <c r="D45" s="17"/>
      <c r="E45" s="17"/>
      <c r="F45" s="17"/>
      <c r="G45" s="16"/>
      <c r="H45" s="17"/>
      <c r="I45" s="16"/>
      <c r="J45" s="17"/>
      <c r="K45" s="15" t="str">
        <f aca="false">IF(C45="","",IF(COUNT(F45,H45,J45)&gt;0,"受講済","未受講"))</f>
        <v/>
      </c>
      <c r="L45" s="15" t="str">
        <f aca="false">IF(OR(C45="",D45="",$B$4=""),"",IF(D45&lt;$B$4,"対象外",IF(E45&lt;&gt;"","受講済","要確認")))</f>
        <v/>
      </c>
      <c r="M45" s="9"/>
    </row>
    <row r="46" customFormat="false" ht="15" hidden="false" customHeight="false" outlineLevel="0" collapsed="false">
      <c r="A46" s="15" t="n">
        <v>39</v>
      </c>
      <c r="B46" s="16"/>
      <c r="C46" s="9"/>
      <c r="D46" s="17"/>
      <c r="E46" s="17"/>
      <c r="F46" s="17"/>
      <c r="G46" s="16"/>
      <c r="H46" s="17"/>
      <c r="I46" s="16"/>
      <c r="J46" s="17"/>
      <c r="K46" s="15" t="str">
        <f aca="false">IF(C46="","",IF(COUNT(F46,H46,J46)&gt;0,"受講済","未受講"))</f>
        <v/>
      </c>
      <c r="L46" s="15" t="str">
        <f aca="false">IF(OR(C46="",D46="",$B$4=""),"",IF(D46&lt;$B$4,"対象外",IF(E46&lt;&gt;"","受講済","要確認")))</f>
        <v/>
      </c>
      <c r="M46" s="9"/>
    </row>
    <row r="47" customFormat="false" ht="15" hidden="false" customHeight="false" outlineLevel="0" collapsed="false">
      <c r="A47" s="15" t="n">
        <v>40</v>
      </c>
      <c r="B47" s="16"/>
      <c r="C47" s="9"/>
      <c r="D47" s="17"/>
      <c r="E47" s="17"/>
      <c r="F47" s="17"/>
      <c r="G47" s="16"/>
      <c r="H47" s="17"/>
      <c r="I47" s="16"/>
      <c r="J47" s="17"/>
      <c r="K47" s="15" t="str">
        <f aca="false">IF(C47="","",IF(COUNT(F47,H47,J47)&gt;0,"受講済","未受講"))</f>
        <v/>
      </c>
      <c r="L47" s="15" t="str">
        <f aca="false">IF(OR(C47="",D47="",$B$4=""),"",IF(D47&lt;$B$4,"対象外",IF(E47&lt;&gt;"","受講済","要確認")))</f>
        <v/>
      </c>
      <c r="M47" s="9"/>
    </row>
    <row r="48" customFormat="false" ht="15" hidden="false" customHeight="false" outlineLevel="0" collapsed="false">
      <c r="A48" s="15" t="n">
        <v>41</v>
      </c>
      <c r="B48" s="16"/>
      <c r="C48" s="9"/>
      <c r="D48" s="17"/>
      <c r="E48" s="17"/>
      <c r="F48" s="17"/>
      <c r="G48" s="16"/>
      <c r="H48" s="17"/>
      <c r="I48" s="16"/>
      <c r="J48" s="17"/>
      <c r="K48" s="15" t="str">
        <f aca="false">IF(C48="","",IF(COUNT(F48,H48,J48)&gt;0,"受講済","未受講"))</f>
        <v/>
      </c>
      <c r="L48" s="15" t="str">
        <f aca="false">IF(OR(C48="",D48="",$B$4=""),"",IF(D48&lt;$B$4,"対象外",IF(E48&lt;&gt;"","受講済","要確認")))</f>
        <v/>
      </c>
      <c r="M48" s="9"/>
    </row>
    <row r="49" customFormat="false" ht="15" hidden="false" customHeight="false" outlineLevel="0" collapsed="false">
      <c r="A49" s="15" t="n">
        <v>42</v>
      </c>
      <c r="B49" s="16"/>
      <c r="C49" s="9"/>
      <c r="D49" s="17"/>
      <c r="E49" s="17"/>
      <c r="F49" s="17"/>
      <c r="G49" s="16"/>
      <c r="H49" s="17"/>
      <c r="I49" s="16"/>
      <c r="J49" s="17"/>
      <c r="K49" s="15" t="str">
        <f aca="false">IF(C49="","",IF(COUNT(F49,H49,J49)&gt;0,"受講済","未受講"))</f>
        <v/>
      </c>
      <c r="L49" s="15" t="str">
        <f aca="false">IF(OR(C49="",D49="",$B$4=""),"",IF(D49&lt;$B$4,"対象外",IF(E49&lt;&gt;"","受講済","要確認")))</f>
        <v/>
      </c>
      <c r="M49" s="9"/>
    </row>
    <row r="50" customFormat="false" ht="15" hidden="false" customHeight="false" outlineLevel="0" collapsed="false">
      <c r="A50" s="15" t="n">
        <v>43</v>
      </c>
      <c r="B50" s="16"/>
      <c r="C50" s="9"/>
      <c r="D50" s="17"/>
      <c r="E50" s="17"/>
      <c r="F50" s="17"/>
      <c r="G50" s="16"/>
      <c r="H50" s="17"/>
      <c r="I50" s="16"/>
      <c r="J50" s="17"/>
      <c r="K50" s="15" t="str">
        <f aca="false">IF(C50="","",IF(COUNT(F50,H50,J50)&gt;0,"受講済","未受講"))</f>
        <v/>
      </c>
      <c r="L50" s="15" t="str">
        <f aca="false">IF(OR(C50="",D50="",$B$4=""),"",IF(D50&lt;$B$4,"対象外",IF(E50&lt;&gt;"","受講済","要確認")))</f>
        <v/>
      </c>
      <c r="M50" s="9"/>
    </row>
    <row r="51" customFormat="false" ht="15" hidden="false" customHeight="false" outlineLevel="0" collapsed="false">
      <c r="A51" s="15" t="n">
        <v>44</v>
      </c>
      <c r="B51" s="16"/>
      <c r="C51" s="9"/>
      <c r="D51" s="17"/>
      <c r="E51" s="17"/>
      <c r="F51" s="17"/>
      <c r="G51" s="16"/>
      <c r="H51" s="17"/>
      <c r="I51" s="16"/>
      <c r="J51" s="17"/>
      <c r="K51" s="15" t="str">
        <f aca="false">IF(C51="","",IF(COUNT(F51,H51,J51)&gt;0,"受講済","未受講"))</f>
        <v/>
      </c>
      <c r="L51" s="15" t="str">
        <f aca="false">IF(OR(C51="",D51="",$B$4=""),"",IF(D51&lt;$B$4,"対象外",IF(E51&lt;&gt;"","受講済","要確認")))</f>
        <v/>
      </c>
      <c r="M51" s="9"/>
    </row>
    <row r="52" customFormat="false" ht="15" hidden="false" customHeight="false" outlineLevel="0" collapsed="false">
      <c r="A52" s="15" t="n">
        <v>45</v>
      </c>
      <c r="B52" s="16"/>
      <c r="C52" s="9"/>
      <c r="D52" s="17"/>
      <c r="E52" s="17"/>
      <c r="F52" s="17"/>
      <c r="G52" s="16"/>
      <c r="H52" s="17"/>
      <c r="I52" s="16"/>
      <c r="J52" s="17"/>
      <c r="K52" s="15" t="str">
        <f aca="false">IF(C52="","",IF(COUNT(F52,H52,J52)&gt;0,"受講済","未受講"))</f>
        <v/>
      </c>
      <c r="L52" s="15" t="str">
        <f aca="false">IF(OR(C52="",D52="",$B$4=""),"",IF(D52&lt;$B$4,"対象外",IF(E52&lt;&gt;"","受講済","要確認")))</f>
        <v/>
      </c>
      <c r="M52" s="9"/>
    </row>
    <row r="53" customFormat="false" ht="15" hidden="false" customHeight="false" outlineLevel="0" collapsed="false">
      <c r="A53" s="15" t="n">
        <v>46</v>
      </c>
      <c r="B53" s="16"/>
      <c r="C53" s="9"/>
      <c r="D53" s="17"/>
      <c r="E53" s="17"/>
      <c r="F53" s="17"/>
      <c r="G53" s="16"/>
      <c r="H53" s="17"/>
      <c r="I53" s="16"/>
      <c r="J53" s="17"/>
      <c r="K53" s="15" t="str">
        <f aca="false">IF(C53="","",IF(COUNT(F53,H53,J53)&gt;0,"受講済","未受講"))</f>
        <v/>
      </c>
      <c r="L53" s="15" t="str">
        <f aca="false">IF(OR(C53="",D53="",$B$4=""),"",IF(D53&lt;$B$4,"対象外",IF(E53&lt;&gt;"","受講済","要確認")))</f>
        <v/>
      </c>
      <c r="M53" s="9"/>
    </row>
    <row r="54" customFormat="false" ht="15" hidden="false" customHeight="false" outlineLevel="0" collapsed="false">
      <c r="A54" s="15" t="n">
        <v>47</v>
      </c>
      <c r="B54" s="16"/>
      <c r="C54" s="9"/>
      <c r="D54" s="17"/>
      <c r="E54" s="17"/>
      <c r="F54" s="17"/>
      <c r="G54" s="16"/>
      <c r="H54" s="17"/>
      <c r="I54" s="16"/>
      <c r="J54" s="17"/>
      <c r="K54" s="15" t="str">
        <f aca="false">IF(C54="","",IF(COUNT(F54,H54,J54)&gt;0,"受講済","未受講"))</f>
        <v/>
      </c>
      <c r="L54" s="15" t="str">
        <f aca="false">IF(OR(C54="",D54="",$B$4=""),"",IF(D54&lt;$B$4,"対象外",IF(E54&lt;&gt;"","受講済","要確認")))</f>
        <v/>
      </c>
      <c r="M54" s="9"/>
    </row>
    <row r="55" customFormat="false" ht="15" hidden="false" customHeight="false" outlineLevel="0" collapsed="false">
      <c r="A55" s="15" t="n">
        <v>48</v>
      </c>
      <c r="B55" s="16"/>
      <c r="C55" s="9"/>
      <c r="D55" s="17"/>
      <c r="E55" s="17"/>
      <c r="F55" s="17"/>
      <c r="G55" s="16"/>
      <c r="H55" s="17"/>
      <c r="I55" s="16"/>
      <c r="J55" s="17"/>
      <c r="K55" s="15" t="str">
        <f aca="false">IF(C55="","",IF(COUNT(F55,H55,J55)&gt;0,"受講済","未受講"))</f>
        <v/>
      </c>
      <c r="L55" s="15" t="str">
        <f aca="false">IF(OR(C55="",D55="",$B$4=""),"",IF(D55&lt;$B$4,"対象外",IF(E55&lt;&gt;"","受講済","要確認")))</f>
        <v/>
      </c>
      <c r="M55" s="9"/>
    </row>
    <row r="56" customFormat="false" ht="15" hidden="false" customHeight="false" outlineLevel="0" collapsed="false">
      <c r="A56" s="15" t="n">
        <v>49</v>
      </c>
      <c r="B56" s="16"/>
      <c r="C56" s="9"/>
      <c r="D56" s="17"/>
      <c r="E56" s="17"/>
      <c r="F56" s="17"/>
      <c r="G56" s="16"/>
      <c r="H56" s="17"/>
      <c r="I56" s="16"/>
      <c r="J56" s="17"/>
      <c r="K56" s="15" t="str">
        <f aca="false">IF(C56="","",IF(COUNT(F56,H56,J56)&gt;0,"受講済","未受講"))</f>
        <v/>
      </c>
      <c r="L56" s="15" t="str">
        <f aca="false">IF(OR(C56="",D56="",$B$4=""),"",IF(D56&lt;$B$4,"対象外",IF(E56&lt;&gt;"","受講済","要確認")))</f>
        <v/>
      </c>
      <c r="M56" s="9"/>
    </row>
    <row r="57" customFormat="false" ht="15" hidden="false" customHeight="false" outlineLevel="0" collapsed="false">
      <c r="A57" s="15" t="n">
        <v>50</v>
      </c>
      <c r="B57" s="16"/>
      <c r="C57" s="9"/>
      <c r="D57" s="17"/>
      <c r="E57" s="17"/>
      <c r="F57" s="17"/>
      <c r="G57" s="16"/>
      <c r="H57" s="17"/>
      <c r="I57" s="16"/>
      <c r="J57" s="17"/>
      <c r="K57" s="15" t="str">
        <f aca="false">IF(C57="","",IF(COUNT(F57,H57,J57)&gt;0,"受講済","未受講"))</f>
        <v/>
      </c>
      <c r="L57" s="15" t="str">
        <f aca="false">IF(OR(C57="",D57="",$B$4=""),"",IF(D57&lt;$B$4,"対象外",IF(E57&lt;&gt;"","受講済","要確認")))</f>
        <v/>
      </c>
      <c r="M57" s="9"/>
    </row>
  </sheetData>
  <mergeCells count="1">
    <mergeCell ref="B3:D3"/>
  </mergeCells>
  <conditionalFormatting sqref="K8:K57">
    <cfRule type="expression" priority="2" aboveAverage="0" equalAverage="0" bottom="0" percent="0" rank="0" text="" dxfId="0">
      <formula>K8="未受講"</formula>
    </cfRule>
  </conditionalFormatting>
  <conditionalFormatting sqref="L8:L57">
    <cfRule type="expression" priority="3" aboveAverage="0" equalAverage="0" bottom="0" percent="0" rank="0" text="" dxfId="1">
      <formula>L8="要確認"</formula>
    </cfRule>
  </conditionalFormatting>
  <dataValidations count="1">
    <dataValidation allowBlank="true" errorStyle="stop" operator="between" showDropDown="false" showErrorMessage="false" showInputMessage="false" sqref="G8:G57 I8:I57" type="list">
      <formula1>"集合,オンライン,動画視聴,後日フォロー,その他"</formula1>
      <formula2>0</formula2>
    </dataValidation>
  </dataValidations>
  <printOptions headings="false" gridLines="false" gridLinesSet="true" horizontalCentered="false" verticalCentered="false"/>
  <pageMargins left="0.6" right="0.6" top="0.7" bottom="0.7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1"/>
    <col collapsed="false" customWidth="true" hidden="false" outlineLevel="0" max="3" min="3" style="0" width="30"/>
    <col collapsed="false" customWidth="true" hidden="false" outlineLevel="0" max="4" min="4" style="0" width="13"/>
    <col collapsed="false" customWidth="true" hidden="false" outlineLevel="0" max="5" min="5" style="0" width="12"/>
    <col collapsed="false" customWidth="true" hidden="false" outlineLevel="0" max="6" min="6" style="0" width="22"/>
    <col collapsed="false" customWidth="true" hidden="false" outlineLevel="0" max="7" min="7" style="0" width="9"/>
    <col collapsed="false" customWidth="true" hidden="false" outlineLevel="0" max="8" min="8" style="0" width="11"/>
    <col collapsed="false" customWidth="true" hidden="false" outlineLevel="0" max="9" min="9" style="0" width="13"/>
    <col collapsed="false" customWidth="true" hidden="false" outlineLevel="0" max="10" min="10" style="0" width="26"/>
  </cols>
  <sheetData>
    <row r="1" customFormat="false" ht="16.15" hidden="false" customHeight="false" outlineLevel="0" collapsed="false">
      <c r="A1" s="5" t="s">
        <v>42</v>
      </c>
    </row>
    <row r="2" customFormat="false" ht="15" hidden="false" customHeight="false" outlineLevel="0" collapsed="false">
      <c r="A2" s="6" t="s">
        <v>43</v>
      </c>
    </row>
    <row r="3" customFormat="false" ht="15" hidden="false" customHeight="true" outlineLevel="0" collapsed="false">
      <c r="A3" s="8" t="s">
        <v>44</v>
      </c>
      <c r="B3" s="18" t="str">
        <f aca="false">IF(受講管理表!B4="","",受講管理表!B4)</f>
        <v/>
      </c>
      <c r="C3" s="18" t="str">
        <f aca="false">IF(受講管理表!D4="","",受講管理表!D4)</f>
        <v/>
      </c>
      <c r="E3" s="7" t="s">
        <v>45</v>
      </c>
      <c r="F3" s="7"/>
      <c r="G3" s="19" t="str">
        <f aca="false">IF(B3="","",COUNTIFS(D7:D30,"定期研修",B7:B30,"&gt;="&amp;B3,B7:B30,"&lt;="&amp;C3))</f>
        <v/>
      </c>
      <c r="H3" s="6" t="s">
        <v>46</v>
      </c>
    </row>
    <row r="6" customFormat="false" ht="15" hidden="false" customHeight="false" outlineLevel="0" collapsed="false">
      <c r="A6" s="7" t="s">
        <v>47</v>
      </c>
      <c r="B6" s="7" t="s">
        <v>48</v>
      </c>
      <c r="C6" s="7" t="s">
        <v>49</v>
      </c>
      <c r="D6" s="7" t="s">
        <v>50</v>
      </c>
      <c r="E6" s="7" t="s">
        <v>51</v>
      </c>
      <c r="F6" s="7" t="s">
        <v>52</v>
      </c>
      <c r="G6" s="7" t="s">
        <v>53</v>
      </c>
      <c r="H6" s="7" t="s">
        <v>54</v>
      </c>
      <c r="I6" s="7" t="s">
        <v>55</v>
      </c>
      <c r="J6" s="7" t="s">
        <v>41</v>
      </c>
    </row>
    <row r="7" customFormat="false" ht="15" hidden="false" customHeight="false" outlineLevel="0" collapsed="false">
      <c r="A7" s="15" t="n">
        <v>1</v>
      </c>
      <c r="B7" s="17"/>
      <c r="C7" s="9"/>
      <c r="D7" s="16"/>
      <c r="E7" s="16"/>
      <c r="F7" s="9"/>
      <c r="G7" s="20"/>
      <c r="H7" s="17"/>
      <c r="I7" s="17"/>
      <c r="J7" s="9"/>
    </row>
    <row r="8" customFormat="false" ht="15" hidden="false" customHeight="false" outlineLevel="0" collapsed="false">
      <c r="A8" s="15" t="n">
        <v>2</v>
      </c>
      <c r="B8" s="17"/>
      <c r="C8" s="9"/>
      <c r="D8" s="16"/>
      <c r="E8" s="16"/>
      <c r="F8" s="9"/>
      <c r="G8" s="20"/>
      <c r="H8" s="17"/>
      <c r="I8" s="17"/>
      <c r="J8" s="9"/>
    </row>
    <row r="9" customFormat="false" ht="15" hidden="false" customHeight="false" outlineLevel="0" collapsed="false">
      <c r="A9" s="15" t="n">
        <v>3</v>
      </c>
      <c r="B9" s="17"/>
      <c r="C9" s="9"/>
      <c r="D9" s="16"/>
      <c r="E9" s="16"/>
      <c r="F9" s="9"/>
      <c r="G9" s="20"/>
      <c r="H9" s="17"/>
      <c r="I9" s="17"/>
      <c r="J9" s="9"/>
    </row>
    <row r="10" customFormat="false" ht="15" hidden="false" customHeight="false" outlineLevel="0" collapsed="false">
      <c r="A10" s="15" t="n">
        <v>4</v>
      </c>
      <c r="B10" s="17"/>
      <c r="C10" s="9"/>
      <c r="D10" s="16"/>
      <c r="E10" s="16"/>
      <c r="F10" s="9"/>
      <c r="G10" s="20"/>
      <c r="H10" s="17"/>
      <c r="I10" s="17"/>
      <c r="J10" s="9"/>
    </row>
    <row r="11" customFormat="false" ht="15" hidden="false" customHeight="false" outlineLevel="0" collapsed="false">
      <c r="A11" s="15" t="n">
        <v>5</v>
      </c>
      <c r="B11" s="17"/>
      <c r="C11" s="9"/>
      <c r="D11" s="16"/>
      <c r="E11" s="16"/>
      <c r="F11" s="9"/>
      <c r="G11" s="20"/>
      <c r="H11" s="17"/>
      <c r="I11" s="17"/>
      <c r="J11" s="9"/>
    </row>
    <row r="12" customFormat="false" ht="15" hidden="false" customHeight="false" outlineLevel="0" collapsed="false">
      <c r="A12" s="15" t="n">
        <v>6</v>
      </c>
      <c r="B12" s="17"/>
      <c r="C12" s="9"/>
      <c r="D12" s="16"/>
      <c r="E12" s="16"/>
      <c r="F12" s="9"/>
      <c r="G12" s="20"/>
      <c r="H12" s="17"/>
      <c r="I12" s="17"/>
      <c r="J12" s="9"/>
    </row>
    <row r="13" customFormat="false" ht="15" hidden="false" customHeight="false" outlineLevel="0" collapsed="false">
      <c r="A13" s="15" t="n">
        <v>7</v>
      </c>
      <c r="B13" s="17"/>
      <c r="C13" s="9"/>
      <c r="D13" s="16"/>
      <c r="E13" s="16"/>
      <c r="F13" s="9"/>
      <c r="G13" s="20"/>
      <c r="H13" s="17"/>
      <c r="I13" s="17"/>
      <c r="J13" s="9"/>
    </row>
    <row r="14" customFormat="false" ht="15" hidden="false" customHeight="false" outlineLevel="0" collapsed="false">
      <c r="A14" s="15" t="n">
        <v>8</v>
      </c>
      <c r="B14" s="17"/>
      <c r="C14" s="9"/>
      <c r="D14" s="16"/>
      <c r="E14" s="16"/>
      <c r="F14" s="9"/>
      <c r="G14" s="20"/>
      <c r="H14" s="17"/>
      <c r="I14" s="17"/>
      <c r="J14" s="9"/>
    </row>
    <row r="15" customFormat="false" ht="15" hidden="false" customHeight="false" outlineLevel="0" collapsed="false">
      <c r="A15" s="15" t="n">
        <v>9</v>
      </c>
      <c r="B15" s="17"/>
      <c r="C15" s="9"/>
      <c r="D15" s="16"/>
      <c r="E15" s="16"/>
      <c r="F15" s="9"/>
      <c r="G15" s="20"/>
      <c r="H15" s="17"/>
      <c r="I15" s="17"/>
      <c r="J15" s="9"/>
    </row>
    <row r="16" customFormat="false" ht="15" hidden="false" customHeight="false" outlineLevel="0" collapsed="false">
      <c r="A16" s="15" t="n">
        <v>10</v>
      </c>
      <c r="B16" s="17"/>
      <c r="C16" s="9"/>
      <c r="D16" s="16"/>
      <c r="E16" s="16"/>
      <c r="F16" s="9"/>
      <c r="G16" s="20"/>
      <c r="H16" s="17"/>
      <c r="I16" s="17"/>
      <c r="J16" s="9"/>
    </row>
    <row r="17" customFormat="false" ht="15" hidden="false" customHeight="false" outlineLevel="0" collapsed="false">
      <c r="A17" s="15" t="n">
        <v>11</v>
      </c>
      <c r="B17" s="17"/>
      <c r="C17" s="9"/>
      <c r="D17" s="16"/>
      <c r="E17" s="16"/>
      <c r="F17" s="9"/>
      <c r="G17" s="20"/>
      <c r="H17" s="17"/>
      <c r="I17" s="17"/>
      <c r="J17" s="9"/>
    </row>
    <row r="18" customFormat="false" ht="15" hidden="false" customHeight="false" outlineLevel="0" collapsed="false">
      <c r="A18" s="15" t="n">
        <v>12</v>
      </c>
      <c r="B18" s="17"/>
      <c r="C18" s="9"/>
      <c r="D18" s="16"/>
      <c r="E18" s="16"/>
      <c r="F18" s="9"/>
      <c r="G18" s="20"/>
      <c r="H18" s="17"/>
      <c r="I18" s="17"/>
      <c r="J18" s="9"/>
    </row>
    <row r="19" customFormat="false" ht="15" hidden="false" customHeight="false" outlineLevel="0" collapsed="false">
      <c r="A19" s="15" t="n">
        <v>13</v>
      </c>
      <c r="B19" s="17"/>
      <c r="C19" s="9"/>
      <c r="D19" s="16"/>
      <c r="E19" s="16"/>
      <c r="F19" s="9"/>
      <c r="G19" s="20"/>
      <c r="H19" s="17"/>
      <c r="I19" s="17"/>
      <c r="J19" s="9"/>
    </row>
    <row r="20" customFormat="false" ht="15" hidden="false" customHeight="false" outlineLevel="0" collapsed="false">
      <c r="A20" s="15" t="n">
        <v>14</v>
      </c>
      <c r="B20" s="17"/>
      <c r="C20" s="9"/>
      <c r="D20" s="16"/>
      <c r="E20" s="16"/>
      <c r="F20" s="9"/>
      <c r="G20" s="20"/>
      <c r="H20" s="17"/>
      <c r="I20" s="17"/>
      <c r="J20" s="9"/>
    </row>
    <row r="21" customFormat="false" ht="15" hidden="false" customHeight="false" outlineLevel="0" collapsed="false">
      <c r="A21" s="15" t="n">
        <v>15</v>
      </c>
      <c r="B21" s="17"/>
      <c r="C21" s="9"/>
      <c r="D21" s="16"/>
      <c r="E21" s="16"/>
      <c r="F21" s="9"/>
      <c r="G21" s="20"/>
      <c r="H21" s="17"/>
      <c r="I21" s="17"/>
      <c r="J21" s="9"/>
    </row>
    <row r="22" customFormat="false" ht="15" hidden="false" customHeight="false" outlineLevel="0" collapsed="false">
      <c r="A22" s="15" t="n">
        <v>16</v>
      </c>
      <c r="B22" s="17"/>
      <c r="C22" s="9"/>
      <c r="D22" s="16"/>
      <c r="E22" s="16"/>
      <c r="F22" s="9"/>
      <c r="G22" s="20"/>
      <c r="H22" s="17"/>
      <c r="I22" s="17"/>
      <c r="J22" s="9"/>
    </row>
    <row r="23" customFormat="false" ht="15" hidden="false" customHeight="false" outlineLevel="0" collapsed="false">
      <c r="A23" s="15" t="n">
        <v>17</v>
      </c>
      <c r="B23" s="17"/>
      <c r="C23" s="9"/>
      <c r="D23" s="16"/>
      <c r="E23" s="16"/>
      <c r="F23" s="9"/>
      <c r="G23" s="20"/>
      <c r="H23" s="17"/>
      <c r="I23" s="17"/>
      <c r="J23" s="9"/>
    </row>
    <row r="24" customFormat="false" ht="15" hidden="false" customHeight="false" outlineLevel="0" collapsed="false">
      <c r="A24" s="15" t="n">
        <v>18</v>
      </c>
      <c r="B24" s="17"/>
      <c r="C24" s="9"/>
      <c r="D24" s="16"/>
      <c r="E24" s="16"/>
      <c r="F24" s="9"/>
      <c r="G24" s="20"/>
      <c r="H24" s="17"/>
      <c r="I24" s="17"/>
      <c r="J24" s="9"/>
    </row>
    <row r="25" customFormat="false" ht="15" hidden="false" customHeight="false" outlineLevel="0" collapsed="false">
      <c r="A25" s="15" t="n">
        <v>19</v>
      </c>
      <c r="B25" s="17"/>
      <c r="C25" s="9"/>
      <c r="D25" s="16"/>
      <c r="E25" s="16"/>
      <c r="F25" s="9"/>
      <c r="G25" s="20"/>
      <c r="H25" s="17"/>
      <c r="I25" s="17"/>
      <c r="J25" s="9"/>
    </row>
    <row r="26" customFormat="false" ht="15" hidden="false" customHeight="false" outlineLevel="0" collapsed="false">
      <c r="A26" s="15" t="n">
        <v>20</v>
      </c>
      <c r="B26" s="17"/>
      <c r="C26" s="9"/>
      <c r="D26" s="16"/>
      <c r="E26" s="16"/>
      <c r="F26" s="9"/>
      <c r="G26" s="20"/>
      <c r="H26" s="17"/>
      <c r="I26" s="17"/>
      <c r="J26" s="9"/>
    </row>
    <row r="27" customFormat="false" ht="15" hidden="false" customHeight="false" outlineLevel="0" collapsed="false">
      <c r="A27" s="15" t="n">
        <v>21</v>
      </c>
      <c r="B27" s="17"/>
      <c r="C27" s="9"/>
      <c r="D27" s="16"/>
      <c r="E27" s="16"/>
      <c r="F27" s="9"/>
      <c r="G27" s="20"/>
      <c r="H27" s="17"/>
      <c r="I27" s="17"/>
      <c r="J27" s="9"/>
    </row>
    <row r="28" customFormat="false" ht="15" hidden="false" customHeight="false" outlineLevel="0" collapsed="false">
      <c r="A28" s="15" t="n">
        <v>22</v>
      </c>
      <c r="B28" s="17"/>
      <c r="C28" s="9"/>
      <c r="D28" s="16"/>
      <c r="E28" s="16"/>
      <c r="F28" s="9"/>
      <c r="G28" s="20"/>
      <c r="H28" s="17"/>
      <c r="I28" s="17"/>
      <c r="J28" s="9"/>
    </row>
    <row r="29" customFormat="false" ht="15" hidden="false" customHeight="false" outlineLevel="0" collapsed="false">
      <c r="A29" s="15" t="n">
        <v>23</v>
      </c>
      <c r="B29" s="17"/>
      <c r="C29" s="9"/>
      <c r="D29" s="16"/>
      <c r="E29" s="16"/>
      <c r="F29" s="9"/>
      <c r="G29" s="20"/>
      <c r="H29" s="17"/>
      <c r="I29" s="17"/>
      <c r="J29" s="9"/>
    </row>
    <row r="30" customFormat="false" ht="15" hidden="false" customHeight="false" outlineLevel="0" collapsed="false">
      <c r="A30" s="15" t="n">
        <v>24</v>
      </c>
      <c r="B30" s="17"/>
      <c r="C30" s="9"/>
      <c r="D30" s="16"/>
      <c r="E30" s="16"/>
      <c r="F30" s="9"/>
      <c r="G30" s="20"/>
      <c r="H30" s="17"/>
      <c r="I30" s="17"/>
      <c r="J30" s="9"/>
    </row>
  </sheetData>
  <mergeCells count="1">
    <mergeCell ref="E3:F3"/>
  </mergeCells>
  <dataValidations count="2">
    <dataValidation allowBlank="true" errorStyle="stop" operator="between" showDropDown="false" showErrorMessage="false" showInputMessage="false" sqref="D7:D30" type="list">
      <formula1>"定期研修,新規採用時研修,その他"</formula1>
      <formula2>0</formula2>
    </dataValidation>
    <dataValidation allowBlank="true" errorStyle="stop" operator="between" showDropDown="false" showErrorMessage="false" showInputMessage="false" sqref="E7:E30" type="list">
      <formula1>"集合,オンライン,動画視聴,後日フォロー,その他"</formula1>
      <formula2>0</formula2>
    </dataValidation>
  </dataValidations>
  <printOptions headings="false" gridLines="false" gridLinesSet="true" horizontalCentered="false" verticalCentered="false"/>
  <pageMargins left="0.6" right="0.6" top="0.7" bottom="0.7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7" topLeftCell="D8" activePane="bottomRight" state="frozen"/>
      <selection pane="topLeft" activeCell="A1" activeCellId="0" sqref="A1"/>
      <selection pane="topRight" activeCell="D1" activeCellId="0" sqref="D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1"/>
    <col collapsed="false" customWidth="true" hidden="false" outlineLevel="0" max="3" min="3" style="0" width="14"/>
    <col collapsed="false" customWidth="true" hidden="false" outlineLevel="0" max="4" min="4" style="0" width="11"/>
    <col collapsed="false" customWidth="true" hidden="false" outlineLevel="0" max="5" min="5" style="0" width="13"/>
    <col collapsed="false" customWidth="true" hidden="false" outlineLevel="0" max="6" min="6" style="0" width="12"/>
    <col collapsed="false" customWidth="true" hidden="false" outlineLevel="0" max="7" min="7" style="0" width="11"/>
    <col collapsed="false" customWidth="true" hidden="false" outlineLevel="0" max="8" min="8" style="0" width="12"/>
    <col collapsed="false" customWidth="true" hidden="false" outlineLevel="0" max="9" min="9" style="0" width="11"/>
    <col collapsed="false" customWidth="true" hidden="false" outlineLevel="0" max="11" min="10" style="0" width="13"/>
    <col collapsed="false" customWidth="true" hidden="false" outlineLevel="0" max="12" min="12" style="0" width="15"/>
    <col collapsed="false" customWidth="true" hidden="false" outlineLevel="0" max="13" min="13" style="0" width="26"/>
  </cols>
  <sheetData>
    <row r="1" customFormat="false" ht="16.15" hidden="false" customHeight="false" outlineLevel="0" collapsed="false">
      <c r="A1" s="5" t="s">
        <v>56</v>
      </c>
    </row>
    <row r="2" customFormat="false" ht="30" hidden="false" customHeight="true" outlineLevel="0" collapsed="false">
      <c r="A2" s="6" t="s">
        <v>57</v>
      </c>
      <c r="F2" s="7" t="s">
        <v>21</v>
      </c>
      <c r="G2" s="7" t="s">
        <v>22</v>
      </c>
      <c r="H2" s="7" t="s">
        <v>23</v>
      </c>
      <c r="I2" s="7" t="s">
        <v>24</v>
      </c>
      <c r="J2" s="7" t="s">
        <v>25</v>
      </c>
    </row>
    <row r="3" customFormat="false" ht="26.85" hidden="false" customHeight="true" outlineLevel="0" collapsed="false">
      <c r="A3" s="8" t="s">
        <v>26</v>
      </c>
      <c r="B3" s="21" t="s">
        <v>58</v>
      </c>
      <c r="C3" s="21"/>
      <c r="D3" s="21"/>
      <c r="F3" s="10" t="n">
        <f aca="false">COUNTA(C8:C57)</f>
        <v>14</v>
      </c>
      <c r="G3" s="10" t="n">
        <f aca="false">COUNTIF(K8:K57,"受講済")</f>
        <v>12</v>
      </c>
      <c r="H3" s="10" t="n">
        <f aca="false">COUNTIF(K8:K57,"未受講")</f>
        <v>2</v>
      </c>
      <c r="I3" s="11" t="n">
        <f aca="false">IF(F3=0,"",G3/F3)</f>
        <v>0.857142857142857</v>
      </c>
      <c r="J3" s="10" t="n">
        <f aca="false">COUNTIF(L8:L57,"要確認")</f>
        <v>1</v>
      </c>
    </row>
    <row r="4" customFormat="false" ht="26.85" hidden="false" customHeight="false" outlineLevel="0" collapsed="false">
      <c r="A4" s="8" t="s">
        <v>27</v>
      </c>
      <c r="B4" s="12" t="n">
        <v>46113</v>
      </c>
      <c r="C4" s="8" t="s">
        <v>28</v>
      </c>
      <c r="D4" s="13" t="n">
        <f aca="false">IF(B4="","",EDATE(B4,12)-1)</f>
        <v>46477</v>
      </c>
    </row>
    <row r="7" customFormat="false" ht="31.5" hidden="false" customHeight="true" outlineLevel="0" collapsed="false">
      <c r="A7" s="14" t="s">
        <v>29</v>
      </c>
      <c r="B7" s="7" t="s">
        <v>30</v>
      </c>
      <c r="C7" s="7" t="s">
        <v>31</v>
      </c>
      <c r="D7" s="7" t="s">
        <v>32</v>
      </c>
      <c r="E7" s="7" t="s">
        <v>33</v>
      </c>
      <c r="F7" s="7" t="s">
        <v>34</v>
      </c>
      <c r="G7" s="7" t="s">
        <v>35</v>
      </c>
      <c r="H7" s="7" t="s">
        <v>36</v>
      </c>
      <c r="I7" s="7" t="s">
        <v>37</v>
      </c>
      <c r="J7" s="7" t="s">
        <v>38</v>
      </c>
      <c r="K7" s="7" t="s">
        <v>39</v>
      </c>
      <c r="L7" s="7" t="s">
        <v>40</v>
      </c>
      <c r="M7" s="7" t="s">
        <v>41</v>
      </c>
    </row>
    <row r="8" customFormat="false" ht="15" hidden="false" customHeight="false" outlineLevel="0" collapsed="false">
      <c r="A8" s="15" t="n">
        <v>1</v>
      </c>
      <c r="B8" s="22" t="s">
        <v>59</v>
      </c>
      <c r="C8" s="21" t="s">
        <v>60</v>
      </c>
      <c r="D8" s="17" t="n">
        <v>43556</v>
      </c>
      <c r="E8" s="17"/>
      <c r="F8" s="17" t="n">
        <v>46183</v>
      </c>
      <c r="G8" s="22" t="s">
        <v>61</v>
      </c>
      <c r="H8" s="17"/>
      <c r="I8" s="22"/>
      <c r="J8" s="17"/>
      <c r="K8" s="15" t="str">
        <f aca="false">IF(C8="","",IF(COUNT(F8,H8,J8)&gt;0,"受講済","未受講"))</f>
        <v>受講済</v>
      </c>
      <c r="L8" s="15" t="str">
        <f aca="false">IF(OR(C8="",D8="",$B$4=""),"",IF(D8&lt;$B$4,"対象外",IF(E8&lt;&gt;"","受講済","要確認")))</f>
        <v>対象外</v>
      </c>
      <c r="M8" s="9"/>
    </row>
    <row r="9" customFormat="false" ht="15" hidden="false" customHeight="false" outlineLevel="0" collapsed="false">
      <c r="A9" s="15" t="n">
        <v>2</v>
      </c>
      <c r="B9" s="22" t="s">
        <v>62</v>
      </c>
      <c r="C9" s="21" t="s">
        <v>63</v>
      </c>
      <c r="D9" s="17" t="n">
        <v>44105</v>
      </c>
      <c r="E9" s="17"/>
      <c r="F9" s="17" t="n">
        <v>46183</v>
      </c>
      <c r="G9" s="22" t="s">
        <v>61</v>
      </c>
      <c r="H9" s="17"/>
      <c r="I9" s="22"/>
      <c r="J9" s="17"/>
      <c r="K9" s="15" t="str">
        <f aca="false">IF(C9="","",IF(COUNT(F9,H9,J9)&gt;0,"受講済","未受講"))</f>
        <v>受講済</v>
      </c>
      <c r="L9" s="15" t="str">
        <f aca="false">IF(OR(C9="",D9="",$B$4=""),"",IF(D9&lt;$B$4,"対象外",IF(E9&lt;&gt;"","受講済","要確認")))</f>
        <v>対象外</v>
      </c>
      <c r="M9" s="9" t="s">
        <v>64</v>
      </c>
    </row>
    <row r="10" customFormat="false" ht="15" hidden="false" customHeight="false" outlineLevel="0" collapsed="false">
      <c r="A10" s="15" t="n">
        <v>3</v>
      </c>
      <c r="B10" s="22" t="s">
        <v>65</v>
      </c>
      <c r="C10" s="21" t="s">
        <v>66</v>
      </c>
      <c r="D10" s="17" t="n">
        <v>44287</v>
      </c>
      <c r="E10" s="17"/>
      <c r="F10" s="17" t="n">
        <v>46183</v>
      </c>
      <c r="G10" s="22" t="s">
        <v>61</v>
      </c>
      <c r="H10" s="17"/>
      <c r="I10" s="22"/>
      <c r="J10" s="17"/>
      <c r="K10" s="15" t="str">
        <f aca="false">IF(C10="","",IF(COUNT(F10,H10,J10)&gt;0,"受講済","未受講"))</f>
        <v>受講済</v>
      </c>
      <c r="L10" s="15" t="str">
        <f aca="false">IF(OR(C10="",D10="",$B$4=""),"",IF(D10&lt;$B$4,"対象外",IF(E10&lt;&gt;"","受講済","要確認")))</f>
        <v>対象外</v>
      </c>
      <c r="M10" s="9"/>
    </row>
    <row r="11" customFormat="false" ht="15" hidden="false" customHeight="false" outlineLevel="0" collapsed="false">
      <c r="A11" s="15" t="n">
        <v>4</v>
      </c>
      <c r="B11" s="22" t="s">
        <v>67</v>
      </c>
      <c r="C11" s="21" t="s">
        <v>68</v>
      </c>
      <c r="D11" s="17" t="n">
        <v>44743</v>
      </c>
      <c r="E11" s="17"/>
      <c r="F11" s="17" t="n">
        <v>46183</v>
      </c>
      <c r="G11" s="22" t="s">
        <v>61</v>
      </c>
      <c r="H11" s="17"/>
      <c r="I11" s="22"/>
      <c r="J11" s="17"/>
      <c r="K11" s="15" t="str">
        <f aca="false">IF(C11="","",IF(COUNT(F11,H11,J11)&gt;0,"受講済","未受講"))</f>
        <v>受講済</v>
      </c>
      <c r="L11" s="15" t="str">
        <f aca="false">IF(OR(C11="",D11="",$B$4=""),"",IF(D11&lt;$B$4,"対象外",IF(E11&lt;&gt;"","受講済","要確認")))</f>
        <v>対象外</v>
      </c>
      <c r="M11" s="9"/>
    </row>
    <row r="12" customFormat="false" ht="15" hidden="false" customHeight="false" outlineLevel="0" collapsed="false">
      <c r="A12" s="15" t="n">
        <v>5</v>
      </c>
      <c r="B12" s="22" t="s">
        <v>65</v>
      </c>
      <c r="C12" s="21" t="s">
        <v>69</v>
      </c>
      <c r="D12" s="17" t="n">
        <v>45017</v>
      </c>
      <c r="E12" s="17"/>
      <c r="F12" s="17"/>
      <c r="G12" s="22"/>
      <c r="H12" s="17"/>
      <c r="I12" s="22"/>
      <c r="J12" s="17" t="n">
        <v>46188</v>
      </c>
      <c r="K12" s="15" t="str">
        <f aca="false">IF(C12="","",IF(COUNT(F12,H12,J12)&gt;0,"受講済","未受講"))</f>
        <v>受講済</v>
      </c>
      <c r="L12" s="15" t="str">
        <f aca="false">IF(OR(C12="",D12="",$B$4=""),"",IF(D12&lt;$B$4,"対象外",IF(E12&lt;&gt;"","受講済","要確認")))</f>
        <v>対象外</v>
      </c>
      <c r="M12" s="9" t="s">
        <v>70</v>
      </c>
    </row>
    <row r="13" customFormat="false" ht="15" hidden="false" customHeight="false" outlineLevel="0" collapsed="false">
      <c r="A13" s="15" t="n">
        <v>6</v>
      </c>
      <c r="B13" s="22" t="s">
        <v>65</v>
      </c>
      <c r="C13" s="21" t="s">
        <v>71</v>
      </c>
      <c r="D13" s="17" t="n">
        <v>43221</v>
      </c>
      <c r="E13" s="17"/>
      <c r="F13" s="17" t="n">
        <v>46183</v>
      </c>
      <c r="G13" s="22" t="s">
        <v>61</v>
      </c>
      <c r="H13" s="17"/>
      <c r="I13" s="22"/>
      <c r="J13" s="17"/>
      <c r="K13" s="15" t="str">
        <f aca="false">IF(C13="","",IF(COUNT(F13,H13,J13)&gt;0,"受講済","未受講"))</f>
        <v>受講済</v>
      </c>
      <c r="L13" s="15" t="str">
        <f aca="false">IF(OR(C13="",D13="",$B$4=""),"",IF(D13&lt;$B$4,"対象外",IF(E13&lt;&gt;"","受講済","要確認")))</f>
        <v>対象外</v>
      </c>
      <c r="M13" s="9"/>
    </row>
    <row r="14" customFormat="false" ht="15" hidden="false" customHeight="false" outlineLevel="0" collapsed="false">
      <c r="A14" s="15" t="n">
        <v>7</v>
      </c>
      <c r="B14" s="22" t="s">
        <v>65</v>
      </c>
      <c r="C14" s="21" t="s">
        <v>72</v>
      </c>
      <c r="D14" s="17" t="n">
        <v>43922</v>
      </c>
      <c r="E14" s="17"/>
      <c r="F14" s="17" t="n">
        <v>46183</v>
      </c>
      <c r="G14" s="22" t="s">
        <v>61</v>
      </c>
      <c r="H14" s="17"/>
      <c r="I14" s="22"/>
      <c r="J14" s="17"/>
      <c r="K14" s="15" t="str">
        <f aca="false">IF(C14="","",IF(COUNT(F14,H14,J14)&gt;0,"受講済","未受講"))</f>
        <v>受講済</v>
      </c>
      <c r="L14" s="15" t="str">
        <f aca="false">IF(OR(C14="",D14="",$B$4=""),"",IF(D14&lt;$B$4,"対象外",IF(E14&lt;&gt;"","受講済","要確認")))</f>
        <v>対象外</v>
      </c>
      <c r="M14" s="9"/>
    </row>
    <row r="15" customFormat="false" ht="15" hidden="false" customHeight="false" outlineLevel="0" collapsed="false">
      <c r="A15" s="15" t="n">
        <v>8</v>
      </c>
      <c r="B15" s="22" t="s">
        <v>73</v>
      </c>
      <c r="C15" s="21" t="s">
        <v>74</v>
      </c>
      <c r="D15" s="17" t="n">
        <v>44501</v>
      </c>
      <c r="E15" s="17"/>
      <c r="F15" s="17" t="n">
        <v>46183</v>
      </c>
      <c r="G15" s="22" t="s">
        <v>61</v>
      </c>
      <c r="H15" s="17"/>
      <c r="I15" s="22"/>
      <c r="J15" s="17"/>
      <c r="K15" s="15" t="str">
        <f aca="false">IF(C15="","",IF(COUNT(F15,H15,J15)&gt;0,"受講済","未受講"))</f>
        <v>受講済</v>
      </c>
      <c r="L15" s="15" t="str">
        <f aca="false">IF(OR(C15="",D15="",$B$4=""),"",IF(D15&lt;$B$4,"対象外",IF(E15&lt;&gt;"","受講済","要確認")))</f>
        <v>対象外</v>
      </c>
      <c r="M15" s="9"/>
    </row>
    <row r="16" customFormat="false" ht="15" hidden="false" customHeight="false" outlineLevel="0" collapsed="false">
      <c r="A16" s="15" t="n">
        <v>9</v>
      </c>
      <c r="B16" s="22" t="s">
        <v>65</v>
      </c>
      <c r="C16" s="21" t="s">
        <v>75</v>
      </c>
      <c r="D16" s="17" t="n">
        <v>44652</v>
      </c>
      <c r="E16" s="17"/>
      <c r="F16" s="17" t="n">
        <v>46183</v>
      </c>
      <c r="G16" s="22" t="s">
        <v>61</v>
      </c>
      <c r="H16" s="17"/>
      <c r="I16" s="22"/>
      <c r="J16" s="17"/>
      <c r="K16" s="15" t="str">
        <f aca="false">IF(C16="","",IF(COUNT(F16,H16,J16)&gt;0,"受講済","未受講"))</f>
        <v>受講済</v>
      </c>
      <c r="L16" s="15" t="str">
        <f aca="false">IF(OR(C16="",D16="",$B$4=""),"",IF(D16&lt;$B$4,"対象外",IF(E16&lt;&gt;"","受講済","要確認")))</f>
        <v>対象外</v>
      </c>
      <c r="M16" s="9"/>
    </row>
    <row r="17" customFormat="false" ht="15" hidden="false" customHeight="false" outlineLevel="0" collapsed="false">
      <c r="A17" s="15" t="n">
        <v>10</v>
      </c>
      <c r="B17" s="22" t="s">
        <v>65</v>
      </c>
      <c r="C17" s="21" t="s">
        <v>76</v>
      </c>
      <c r="D17" s="17" t="n">
        <v>45323</v>
      </c>
      <c r="E17" s="17"/>
      <c r="F17" s="17" t="n">
        <v>46183</v>
      </c>
      <c r="G17" s="22" t="s">
        <v>61</v>
      </c>
      <c r="H17" s="17"/>
      <c r="I17" s="22"/>
      <c r="J17" s="17"/>
      <c r="K17" s="15" t="str">
        <f aca="false">IF(C17="","",IF(COUNT(F17,H17,J17)&gt;0,"受講済","未受講"))</f>
        <v>受講済</v>
      </c>
      <c r="L17" s="15" t="str">
        <f aca="false">IF(OR(C17="",D17="",$B$4=""),"",IF(D17&lt;$B$4,"対象外",IF(E17&lt;&gt;"","受講済","要確認")))</f>
        <v>対象外</v>
      </c>
      <c r="M17" s="9"/>
    </row>
    <row r="18" customFormat="false" ht="15" hidden="false" customHeight="false" outlineLevel="0" collapsed="false">
      <c r="A18" s="15" t="n">
        <v>11</v>
      </c>
      <c r="B18" s="22" t="s">
        <v>62</v>
      </c>
      <c r="C18" s="21" t="s">
        <v>77</v>
      </c>
      <c r="D18" s="17" t="n">
        <v>45536</v>
      </c>
      <c r="E18" s="17"/>
      <c r="F18" s="17" t="n">
        <v>46183</v>
      </c>
      <c r="G18" s="22" t="s">
        <v>61</v>
      </c>
      <c r="H18" s="17"/>
      <c r="I18" s="22"/>
      <c r="J18" s="17"/>
      <c r="K18" s="15" t="str">
        <f aca="false">IF(C18="","",IF(COUNT(F18,H18,J18)&gt;0,"受講済","未受講"))</f>
        <v>受講済</v>
      </c>
      <c r="L18" s="15" t="str">
        <f aca="false">IF(OR(C18="",D18="",$B$4=""),"",IF(D18&lt;$B$4,"対象外",IF(E18&lt;&gt;"","受講済","要確認")))</f>
        <v>対象外</v>
      </c>
      <c r="M18" s="9"/>
    </row>
    <row r="19" customFormat="false" ht="15" hidden="false" customHeight="false" outlineLevel="0" collapsed="false">
      <c r="A19" s="15" t="n">
        <v>12</v>
      </c>
      <c r="B19" s="22" t="s">
        <v>65</v>
      </c>
      <c r="C19" s="21" t="s">
        <v>78</v>
      </c>
      <c r="D19" s="17" t="n">
        <v>45809</v>
      </c>
      <c r="E19" s="17"/>
      <c r="F19" s="17"/>
      <c r="G19" s="22"/>
      <c r="H19" s="17"/>
      <c r="I19" s="22"/>
      <c r="J19" s="17" t="n">
        <v>46190</v>
      </c>
      <c r="K19" s="15" t="str">
        <f aca="false">IF(C19="","",IF(COUNT(F19,H19,J19)&gt;0,"受講済","未受講"))</f>
        <v>受講済</v>
      </c>
      <c r="L19" s="15" t="str">
        <f aca="false">IF(OR(C19="",D19="",$B$4=""),"",IF(D19&lt;$B$4,"対象外",IF(E19&lt;&gt;"","受講済","要確認")))</f>
        <v>対象外</v>
      </c>
      <c r="M19" s="9" t="s">
        <v>70</v>
      </c>
    </row>
    <row r="20" customFormat="false" ht="15" hidden="false" customHeight="false" outlineLevel="0" collapsed="false">
      <c r="A20" s="15" t="n">
        <v>13</v>
      </c>
      <c r="B20" s="22" t="s">
        <v>65</v>
      </c>
      <c r="C20" s="21" t="s">
        <v>79</v>
      </c>
      <c r="D20" s="17" t="n">
        <v>46235</v>
      </c>
      <c r="E20" s="17" t="n">
        <v>46237</v>
      </c>
      <c r="F20" s="17"/>
      <c r="G20" s="22"/>
      <c r="H20" s="17"/>
      <c r="I20" s="22"/>
      <c r="J20" s="17"/>
      <c r="K20" s="15" t="str">
        <f aca="false">IF(C20="","",IF(COUNT(F20,H20,J20)&gt;0,"受講済","未受講"))</f>
        <v>未受講</v>
      </c>
      <c r="L20" s="15" t="str">
        <f aca="false">IF(OR(C20="",D20="",$B$4=""),"",IF(D20&lt;$B$4,"対象外",IF(E20&lt;&gt;"","受講済","要確認")))</f>
        <v>受講済</v>
      </c>
      <c r="M20" s="21" t="s">
        <v>80</v>
      </c>
    </row>
    <row r="21" customFormat="false" ht="15" hidden="false" customHeight="false" outlineLevel="0" collapsed="false">
      <c r="A21" s="15" t="n">
        <v>14</v>
      </c>
      <c r="B21" s="22" t="s">
        <v>65</v>
      </c>
      <c r="C21" s="21" t="s">
        <v>81</v>
      </c>
      <c r="D21" s="17" t="n">
        <v>46266</v>
      </c>
      <c r="E21" s="17"/>
      <c r="F21" s="17"/>
      <c r="G21" s="22"/>
      <c r="H21" s="17"/>
      <c r="I21" s="22"/>
      <c r="J21" s="17"/>
      <c r="K21" s="15" t="str">
        <f aca="false">IF(C21="","",IF(COUNT(F21,H21,J21)&gt;0,"受講済","未受講"))</f>
        <v>未受講</v>
      </c>
      <c r="L21" s="15" t="str">
        <f aca="false">IF(OR(C21="",D21="",$B$4=""),"",IF(D21&lt;$B$4,"対象外",IF(E21&lt;&gt;"","受講済","要確認")))</f>
        <v>要確認</v>
      </c>
      <c r="M21" s="9" t="s">
        <v>82</v>
      </c>
    </row>
    <row r="22" customFormat="false" ht="15" hidden="false" customHeight="false" outlineLevel="0" collapsed="false">
      <c r="A22" s="15" t="n">
        <v>15</v>
      </c>
      <c r="B22" s="16"/>
      <c r="C22" s="9"/>
      <c r="D22" s="17"/>
      <c r="E22" s="17"/>
      <c r="F22" s="17"/>
      <c r="G22" s="22"/>
      <c r="H22" s="17"/>
      <c r="I22" s="22"/>
      <c r="J22" s="17"/>
      <c r="K22" s="15" t="str">
        <f aca="false">IF(C22="","",IF(COUNT(F22,H22,J22)&gt;0,"受講済","未受講"))</f>
        <v/>
      </c>
      <c r="L22" s="15" t="str">
        <f aca="false">IF(OR(C22="",D22="",$B$4=""),"",IF(D22&lt;$B$4,"対象外",IF(E22&lt;&gt;"","受講済","要確認")))</f>
        <v/>
      </c>
      <c r="M22" s="9"/>
    </row>
    <row r="23" customFormat="false" ht="15" hidden="false" customHeight="false" outlineLevel="0" collapsed="false">
      <c r="A23" s="15" t="n">
        <v>16</v>
      </c>
      <c r="B23" s="16"/>
      <c r="C23" s="9"/>
      <c r="D23" s="17"/>
      <c r="E23" s="17"/>
      <c r="F23" s="17"/>
      <c r="G23" s="22"/>
      <c r="H23" s="17"/>
      <c r="I23" s="22"/>
      <c r="J23" s="17"/>
      <c r="K23" s="15" t="str">
        <f aca="false">IF(C23="","",IF(COUNT(F23,H23,J23)&gt;0,"受講済","未受講"))</f>
        <v/>
      </c>
      <c r="L23" s="15" t="str">
        <f aca="false">IF(OR(C23="",D23="",$B$4=""),"",IF(D23&lt;$B$4,"対象外",IF(E23&lt;&gt;"","受講済","要確認")))</f>
        <v/>
      </c>
      <c r="M23" s="9"/>
    </row>
    <row r="24" customFormat="false" ht="15" hidden="false" customHeight="false" outlineLevel="0" collapsed="false">
      <c r="A24" s="15" t="n">
        <v>17</v>
      </c>
      <c r="B24" s="16"/>
      <c r="C24" s="9"/>
      <c r="D24" s="17"/>
      <c r="E24" s="17"/>
      <c r="F24" s="17"/>
      <c r="G24" s="22"/>
      <c r="H24" s="17"/>
      <c r="I24" s="22"/>
      <c r="J24" s="17"/>
      <c r="K24" s="15" t="str">
        <f aca="false">IF(C24="","",IF(COUNT(F24,H24,J24)&gt;0,"受講済","未受講"))</f>
        <v/>
      </c>
      <c r="L24" s="15" t="str">
        <f aca="false">IF(OR(C24="",D24="",$B$4=""),"",IF(D24&lt;$B$4,"対象外",IF(E24&lt;&gt;"","受講済","要確認")))</f>
        <v/>
      </c>
      <c r="M24" s="9"/>
    </row>
    <row r="25" customFormat="false" ht="15" hidden="false" customHeight="false" outlineLevel="0" collapsed="false">
      <c r="A25" s="15" t="n">
        <v>18</v>
      </c>
      <c r="B25" s="16"/>
      <c r="C25" s="9"/>
      <c r="D25" s="17"/>
      <c r="E25" s="17"/>
      <c r="F25" s="17"/>
      <c r="G25" s="22"/>
      <c r="H25" s="17"/>
      <c r="I25" s="22"/>
      <c r="J25" s="17"/>
      <c r="K25" s="15" t="str">
        <f aca="false">IF(C25="","",IF(COUNT(F25,H25,J25)&gt;0,"受講済","未受講"))</f>
        <v/>
      </c>
      <c r="L25" s="15" t="str">
        <f aca="false">IF(OR(C25="",D25="",$B$4=""),"",IF(D25&lt;$B$4,"対象外",IF(E25&lt;&gt;"","受講済","要確認")))</f>
        <v/>
      </c>
      <c r="M25" s="9"/>
    </row>
    <row r="26" customFormat="false" ht="15" hidden="false" customHeight="false" outlineLevel="0" collapsed="false">
      <c r="A26" s="15" t="n">
        <v>19</v>
      </c>
      <c r="B26" s="16"/>
      <c r="C26" s="9"/>
      <c r="D26" s="17"/>
      <c r="E26" s="17"/>
      <c r="F26" s="17"/>
      <c r="G26" s="22"/>
      <c r="H26" s="17"/>
      <c r="I26" s="22"/>
      <c r="J26" s="17"/>
      <c r="K26" s="15" t="str">
        <f aca="false">IF(C26="","",IF(COUNT(F26,H26,J26)&gt;0,"受講済","未受講"))</f>
        <v/>
      </c>
      <c r="L26" s="15" t="str">
        <f aca="false">IF(OR(C26="",D26="",$B$4=""),"",IF(D26&lt;$B$4,"対象外",IF(E26&lt;&gt;"","受講済","要確認")))</f>
        <v/>
      </c>
      <c r="M26" s="9"/>
    </row>
    <row r="27" customFormat="false" ht="15" hidden="false" customHeight="false" outlineLevel="0" collapsed="false">
      <c r="A27" s="15" t="n">
        <v>20</v>
      </c>
      <c r="B27" s="16"/>
      <c r="C27" s="9"/>
      <c r="D27" s="17"/>
      <c r="E27" s="17"/>
      <c r="F27" s="17"/>
      <c r="G27" s="22"/>
      <c r="H27" s="17"/>
      <c r="I27" s="22"/>
      <c r="J27" s="17"/>
      <c r="K27" s="15" t="str">
        <f aca="false">IF(C27="","",IF(COUNT(F27,H27,J27)&gt;0,"受講済","未受講"))</f>
        <v/>
      </c>
      <c r="L27" s="15" t="str">
        <f aca="false">IF(OR(C27="",D27="",$B$4=""),"",IF(D27&lt;$B$4,"対象外",IF(E27&lt;&gt;"","受講済","要確認")))</f>
        <v/>
      </c>
      <c r="M27" s="9"/>
    </row>
    <row r="28" customFormat="false" ht="15" hidden="false" customHeight="false" outlineLevel="0" collapsed="false">
      <c r="A28" s="15" t="n">
        <v>21</v>
      </c>
      <c r="B28" s="16"/>
      <c r="C28" s="9"/>
      <c r="D28" s="17"/>
      <c r="E28" s="17"/>
      <c r="F28" s="17"/>
      <c r="G28" s="22"/>
      <c r="H28" s="17"/>
      <c r="I28" s="22"/>
      <c r="J28" s="17"/>
      <c r="K28" s="15" t="str">
        <f aca="false">IF(C28="","",IF(COUNT(F28,H28,J28)&gt;0,"受講済","未受講"))</f>
        <v/>
      </c>
      <c r="L28" s="15" t="str">
        <f aca="false">IF(OR(C28="",D28="",$B$4=""),"",IF(D28&lt;$B$4,"対象外",IF(E28&lt;&gt;"","受講済","要確認")))</f>
        <v/>
      </c>
      <c r="M28" s="9"/>
    </row>
    <row r="29" customFormat="false" ht="15" hidden="false" customHeight="false" outlineLevel="0" collapsed="false">
      <c r="A29" s="15" t="n">
        <v>22</v>
      </c>
      <c r="B29" s="16"/>
      <c r="C29" s="9"/>
      <c r="D29" s="17"/>
      <c r="E29" s="17"/>
      <c r="F29" s="17"/>
      <c r="G29" s="22"/>
      <c r="H29" s="17"/>
      <c r="I29" s="22"/>
      <c r="J29" s="17"/>
      <c r="K29" s="15" t="str">
        <f aca="false">IF(C29="","",IF(COUNT(F29,H29,J29)&gt;0,"受講済","未受講"))</f>
        <v/>
      </c>
      <c r="L29" s="15" t="str">
        <f aca="false">IF(OR(C29="",D29="",$B$4=""),"",IF(D29&lt;$B$4,"対象外",IF(E29&lt;&gt;"","受講済","要確認")))</f>
        <v/>
      </c>
      <c r="M29" s="9"/>
    </row>
    <row r="30" customFormat="false" ht="15" hidden="false" customHeight="false" outlineLevel="0" collapsed="false">
      <c r="A30" s="15" t="n">
        <v>23</v>
      </c>
      <c r="B30" s="16"/>
      <c r="C30" s="9"/>
      <c r="D30" s="17"/>
      <c r="E30" s="17"/>
      <c r="F30" s="17"/>
      <c r="G30" s="22"/>
      <c r="H30" s="17"/>
      <c r="I30" s="22"/>
      <c r="J30" s="17"/>
      <c r="K30" s="15" t="str">
        <f aca="false">IF(C30="","",IF(COUNT(F30,H30,J30)&gt;0,"受講済","未受講"))</f>
        <v/>
      </c>
      <c r="L30" s="15" t="str">
        <f aca="false">IF(OR(C30="",D30="",$B$4=""),"",IF(D30&lt;$B$4,"対象外",IF(E30&lt;&gt;"","受講済","要確認")))</f>
        <v/>
      </c>
      <c r="M30" s="9"/>
    </row>
    <row r="31" customFormat="false" ht="15" hidden="false" customHeight="false" outlineLevel="0" collapsed="false">
      <c r="A31" s="15" t="n">
        <v>24</v>
      </c>
      <c r="B31" s="16"/>
      <c r="C31" s="9"/>
      <c r="D31" s="17"/>
      <c r="E31" s="17"/>
      <c r="F31" s="17"/>
      <c r="G31" s="22"/>
      <c r="H31" s="17"/>
      <c r="I31" s="22"/>
      <c r="J31" s="17"/>
      <c r="K31" s="15" t="str">
        <f aca="false">IF(C31="","",IF(COUNT(F31,H31,J31)&gt;0,"受講済","未受講"))</f>
        <v/>
      </c>
      <c r="L31" s="15" t="str">
        <f aca="false">IF(OR(C31="",D31="",$B$4=""),"",IF(D31&lt;$B$4,"対象外",IF(E31&lt;&gt;"","受講済","要確認")))</f>
        <v/>
      </c>
      <c r="M31" s="9"/>
    </row>
    <row r="32" customFormat="false" ht="15" hidden="false" customHeight="false" outlineLevel="0" collapsed="false">
      <c r="A32" s="15" t="n">
        <v>25</v>
      </c>
      <c r="B32" s="16"/>
      <c r="C32" s="9"/>
      <c r="D32" s="17"/>
      <c r="E32" s="17"/>
      <c r="F32" s="17"/>
      <c r="G32" s="22"/>
      <c r="H32" s="17"/>
      <c r="I32" s="22"/>
      <c r="J32" s="17"/>
      <c r="K32" s="15" t="str">
        <f aca="false">IF(C32="","",IF(COUNT(F32,H32,J32)&gt;0,"受講済","未受講"))</f>
        <v/>
      </c>
      <c r="L32" s="15" t="str">
        <f aca="false">IF(OR(C32="",D32="",$B$4=""),"",IF(D32&lt;$B$4,"対象外",IF(E32&lt;&gt;"","受講済","要確認")))</f>
        <v/>
      </c>
      <c r="M32" s="9"/>
    </row>
    <row r="33" customFormat="false" ht="15" hidden="false" customHeight="false" outlineLevel="0" collapsed="false">
      <c r="A33" s="15" t="n">
        <v>26</v>
      </c>
      <c r="B33" s="16"/>
      <c r="C33" s="9"/>
      <c r="D33" s="17"/>
      <c r="E33" s="17"/>
      <c r="F33" s="17"/>
      <c r="G33" s="22"/>
      <c r="H33" s="17"/>
      <c r="I33" s="22"/>
      <c r="J33" s="17"/>
      <c r="K33" s="15" t="str">
        <f aca="false">IF(C33="","",IF(COUNT(F33,H33,J33)&gt;0,"受講済","未受講"))</f>
        <v/>
      </c>
      <c r="L33" s="15" t="str">
        <f aca="false">IF(OR(C33="",D33="",$B$4=""),"",IF(D33&lt;$B$4,"対象外",IF(E33&lt;&gt;"","受講済","要確認")))</f>
        <v/>
      </c>
      <c r="M33" s="9"/>
    </row>
    <row r="34" customFormat="false" ht="15" hidden="false" customHeight="false" outlineLevel="0" collapsed="false">
      <c r="A34" s="15" t="n">
        <v>27</v>
      </c>
      <c r="B34" s="16"/>
      <c r="C34" s="9"/>
      <c r="D34" s="17"/>
      <c r="E34" s="17"/>
      <c r="F34" s="17"/>
      <c r="G34" s="22"/>
      <c r="H34" s="17"/>
      <c r="I34" s="22"/>
      <c r="J34" s="17"/>
      <c r="K34" s="15" t="str">
        <f aca="false">IF(C34="","",IF(COUNT(F34,H34,J34)&gt;0,"受講済","未受講"))</f>
        <v/>
      </c>
      <c r="L34" s="15" t="str">
        <f aca="false">IF(OR(C34="",D34="",$B$4=""),"",IF(D34&lt;$B$4,"対象外",IF(E34&lt;&gt;"","受講済","要確認")))</f>
        <v/>
      </c>
      <c r="M34" s="9"/>
    </row>
    <row r="35" customFormat="false" ht="15" hidden="false" customHeight="false" outlineLevel="0" collapsed="false">
      <c r="A35" s="15" t="n">
        <v>28</v>
      </c>
      <c r="B35" s="16"/>
      <c r="C35" s="9"/>
      <c r="D35" s="17"/>
      <c r="E35" s="17"/>
      <c r="F35" s="17"/>
      <c r="G35" s="22"/>
      <c r="H35" s="17"/>
      <c r="I35" s="22"/>
      <c r="J35" s="17"/>
      <c r="K35" s="15" t="str">
        <f aca="false">IF(C35="","",IF(COUNT(F35,H35,J35)&gt;0,"受講済","未受講"))</f>
        <v/>
      </c>
      <c r="L35" s="15" t="str">
        <f aca="false">IF(OR(C35="",D35="",$B$4=""),"",IF(D35&lt;$B$4,"対象外",IF(E35&lt;&gt;"","受講済","要確認")))</f>
        <v/>
      </c>
      <c r="M35" s="9"/>
    </row>
    <row r="36" customFormat="false" ht="15" hidden="false" customHeight="false" outlineLevel="0" collapsed="false">
      <c r="A36" s="15" t="n">
        <v>29</v>
      </c>
      <c r="B36" s="16"/>
      <c r="C36" s="9"/>
      <c r="D36" s="17"/>
      <c r="E36" s="17"/>
      <c r="F36" s="17"/>
      <c r="G36" s="22"/>
      <c r="H36" s="17"/>
      <c r="I36" s="22"/>
      <c r="J36" s="17"/>
      <c r="K36" s="15" t="str">
        <f aca="false">IF(C36="","",IF(COUNT(F36,H36,J36)&gt;0,"受講済","未受講"))</f>
        <v/>
      </c>
      <c r="L36" s="15" t="str">
        <f aca="false">IF(OR(C36="",D36="",$B$4=""),"",IF(D36&lt;$B$4,"対象外",IF(E36&lt;&gt;"","受講済","要確認")))</f>
        <v/>
      </c>
      <c r="M36" s="9"/>
    </row>
    <row r="37" customFormat="false" ht="15" hidden="false" customHeight="false" outlineLevel="0" collapsed="false">
      <c r="A37" s="15" t="n">
        <v>30</v>
      </c>
      <c r="B37" s="16"/>
      <c r="C37" s="9"/>
      <c r="D37" s="17"/>
      <c r="E37" s="17"/>
      <c r="F37" s="17"/>
      <c r="G37" s="22"/>
      <c r="H37" s="17"/>
      <c r="I37" s="22"/>
      <c r="J37" s="17"/>
      <c r="K37" s="15" t="str">
        <f aca="false">IF(C37="","",IF(COUNT(F37,H37,J37)&gt;0,"受講済","未受講"))</f>
        <v/>
      </c>
      <c r="L37" s="15" t="str">
        <f aca="false">IF(OR(C37="",D37="",$B$4=""),"",IF(D37&lt;$B$4,"対象外",IF(E37&lt;&gt;"","受講済","要確認")))</f>
        <v/>
      </c>
      <c r="M37" s="9"/>
    </row>
    <row r="38" customFormat="false" ht="15" hidden="false" customHeight="false" outlineLevel="0" collapsed="false">
      <c r="A38" s="15" t="n">
        <v>31</v>
      </c>
      <c r="B38" s="16"/>
      <c r="C38" s="9"/>
      <c r="D38" s="17"/>
      <c r="E38" s="17"/>
      <c r="F38" s="17"/>
      <c r="G38" s="22"/>
      <c r="H38" s="17"/>
      <c r="I38" s="22"/>
      <c r="J38" s="17"/>
      <c r="K38" s="15" t="str">
        <f aca="false">IF(C38="","",IF(COUNT(F38,H38,J38)&gt;0,"受講済","未受講"))</f>
        <v/>
      </c>
      <c r="L38" s="15" t="str">
        <f aca="false">IF(OR(C38="",D38="",$B$4=""),"",IF(D38&lt;$B$4,"対象外",IF(E38&lt;&gt;"","受講済","要確認")))</f>
        <v/>
      </c>
      <c r="M38" s="9"/>
    </row>
    <row r="39" customFormat="false" ht="15" hidden="false" customHeight="false" outlineLevel="0" collapsed="false">
      <c r="A39" s="15" t="n">
        <v>32</v>
      </c>
      <c r="B39" s="16"/>
      <c r="C39" s="9"/>
      <c r="D39" s="17"/>
      <c r="E39" s="17"/>
      <c r="F39" s="17"/>
      <c r="G39" s="22"/>
      <c r="H39" s="17"/>
      <c r="I39" s="22"/>
      <c r="J39" s="17"/>
      <c r="K39" s="15" t="str">
        <f aca="false">IF(C39="","",IF(COUNT(F39,H39,J39)&gt;0,"受講済","未受講"))</f>
        <v/>
      </c>
      <c r="L39" s="15" t="str">
        <f aca="false">IF(OR(C39="",D39="",$B$4=""),"",IF(D39&lt;$B$4,"対象外",IF(E39&lt;&gt;"","受講済","要確認")))</f>
        <v/>
      </c>
      <c r="M39" s="9"/>
    </row>
    <row r="40" customFormat="false" ht="15" hidden="false" customHeight="false" outlineLevel="0" collapsed="false">
      <c r="A40" s="15" t="n">
        <v>33</v>
      </c>
      <c r="B40" s="16"/>
      <c r="C40" s="9"/>
      <c r="D40" s="17"/>
      <c r="E40" s="17"/>
      <c r="F40" s="17"/>
      <c r="G40" s="22"/>
      <c r="H40" s="17"/>
      <c r="I40" s="22"/>
      <c r="J40" s="17"/>
      <c r="K40" s="15" t="str">
        <f aca="false">IF(C40="","",IF(COUNT(F40,H40,J40)&gt;0,"受講済","未受講"))</f>
        <v/>
      </c>
      <c r="L40" s="15" t="str">
        <f aca="false">IF(OR(C40="",D40="",$B$4=""),"",IF(D40&lt;$B$4,"対象外",IF(E40&lt;&gt;"","受講済","要確認")))</f>
        <v/>
      </c>
      <c r="M40" s="9"/>
    </row>
    <row r="41" customFormat="false" ht="15" hidden="false" customHeight="false" outlineLevel="0" collapsed="false">
      <c r="A41" s="15" t="n">
        <v>34</v>
      </c>
      <c r="B41" s="16"/>
      <c r="C41" s="9"/>
      <c r="D41" s="17"/>
      <c r="E41" s="17"/>
      <c r="F41" s="17"/>
      <c r="G41" s="22"/>
      <c r="H41" s="17"/>
      <c r="I41" s="22"/>
      <c r="J41" s="17"/>
      <c r="K41" s="15" t="str">
        <f aca="false">IF(C41="","",IF(COUNT(F41,H41,J41)&gt;0,"受講済","未受講"))</f>
        <v/>
      </c>
      <c r="L41" s="15" t="str">
        <f aca="false">IF(OR(C41="",D41="",$B$4=""),"",IF(D41&lt;$B$4,"対象外",IF(E41&lt;&gt;"","受講済","要確認")))</f>
        <v/>
      </c>
      <c r="M41" s="9"/>
    </row>
    <row r="42" customFormat="false" ht="15" hidden="false" customHeight="false" outlineLevel="0" collapsed="false">
      <c r="A42" s="15" t="n">
        <v>35</v>
      </c>
      <c r="B42" s="16"/>
      <c r="C42" s="9"/>
      <c r="D42" s="17"/>
      <c r="E42" s="17"/>
      <c r="F42" s="17"/>
      <c r="G42" s="22"/>
      <c r="H42" s="17"/>
      <c r="I42" s="22"/>
      <c r="J42" s="17"/>
      <c r="K42" s="15" t="str">
        <f aca="false">IF(C42="","",IF(COUNT(F42,H42,J42)&gt;0,"受講済","未受講"))</f>
        <v/>
      </c>
      <c r="L42" s="15" t="str">
        <f aca="false">IF(OR(C42="",D42="",$B$4=""),"",IF(D42&lt;$B$4,"対象外",IF(E42&lt;&gt;"","受講済","要確認")))</f>
        <v/>
      </c>
      <c r="M42" s="9"/>
    </row>
    <row r="43" customFormat="false" ht="15" hidden="false" customHeight="false" outlineLevel="0" collapsed="false">
      <c r="A43" s="15" t="n">
        <v>36</v>
      </c>
      <c r="B43" s="16"/>
      <c r="C43" s="9"/>
      <c r="D43" s="17"/>
      <c r="E43" s="17"/>
      <c r="F43" s="17"/>
      <c r="G43" s="22"/>
      <c r="H43" s="17"/>
      <c r="I43" s="22"/>
      <c r="J43" s="17"/>
      <c r="K43" s="15" t="str">
        <f aca="false">IF(C43="","",IF(COUNT(F43,H43,J43)&gt;0,"受講済","未受講"))</f>
        <v/>
      </c>
      <c r="L43" s="15" t="str">
        <f aca="false">IF(OR(C43="",D43="",$B$4=""),"",IF(D43&lt;$B$4,"対象外",IF(E43&lt;&gt;"","受講済","要確認")))</f>
        <v/>
      </c>
      <c r="M43" s="9"/>
    </row>
    <row r="44" customFormat="false" ht="15" hidden="false" customHeight="false" outlineLevel="0" collapsed="false">
      <c r="A44" s="15" t="n">
        <v>37</v>
      </c>
      <c r="B44" s="16"/>
      <c r="C44" s="9"/>
      <c r="D44" s="17"/>
      <c r="E44" s="17"/>
      <c r="F44" s="17"/>
      <c r="G44" s="22"/>
      <c r="H44" s="17"/>
      <c r="I44" s="22"/>
      <c r="J44" s="17"/>
      <c r="K44" s="15" t="str">
        <f aca="false">IF(C44="","",IF(COUNT(F44,H44,J44)&gt;0,"受講済","未受講"))</f>
        <v/>
      </c>
      <c r="L44" s="15" t="str">
        <f aca="false">IF(OR(C44="",D44="",$B$4=""),"",IF(D44&lt;$B$4,"対象外",IF(E44&lt;&gt;"","受講済","要確認")))</f>
        <v/>
      </c>
      <c r="M44" s="9"/>
    </row>
    <row r="45" customFormat="false" ht="15" hidden="false" customHeight="false" outlineLevel="0" collapsed="false">
      <c r="A45" s="15" t="n">
        <v>38</v>
      </c>
      <c r="B45" s="16"/>
      <c r="C45" s="9"/>
      <c r="D45" s="17"/>
      <c r="E45" s="17"/>
      <c r="F45" s="17"/>
      <c r="G45" s="22"/>
      <c r="H45" s="17"/>
      <c r="I45" s="22"/>
      <c r="J45" s="17"/>
      <c r="K45" s="15" t="str">
        <f aca="false">IF(C45="","",IF(COUNT(F45,H45,J45)&gt;0,"受講済","未受講"))</f>
        <v/>
      </c>
      <c r="L45" s="15" t="str">
        <f aca="false">IF(OR(C45="",D45="",$B$4=""),"",IF(D45&lt;$B$4,"対象外",IF(E45&lt;&gt;"","受講済","要確認")))</f>
        <v/>
      </c>
      <c r="M45" s="9"/>
    </row>
    <row r="46" customFormat="false" ht="15" hidden="false" customHeight="false" outlineLevel="0" collapsed="false">
      <c r="A46" s="15" t="n">
        <v>39</v>
      </c>
      <c r="B46" s="16"/>
      <c r="C46" s="9"/>
      <c r="D46" s="17"/>
      <c r="E46" s="17"/>
      <c r="F46" s="17"/>
      <c r="G46" s="22"/>
      <c r="H46" s="17"/>
      <c r="I46" s="22"/>
      <c r="J46" s="17"/>
      <c r="K46" s="15" t="str">
        <f aca="false">IF(C46="","",IF(COUNT(F46,H46,J46)&gt;0,"受講済","未受講"))</f>
        <v/>
      </c>
      <c r="L46" s="15" t="str">
        <f aca="false">IF(OR(C46="",D46="",$B$4=""),"",IF(D46&lt;$B$4,"対象外",IF(E46&lt;&gt;"","受講済","要確認")))</f>
        <v/>
      </c>
      <c r="M46" s="9"/>
    </row>
    <row r="47" customFormat="false" ht="15" hidden="false" customHeight="false" outlineLevel="0" collapsed="false">
      <c r="A47" s="15" t="n">
        <v>40</v>
      </c>
      <c r="B47" s="16"/>
      <c r="C47" s="9"/>
      <c r="D47" s="17"/>
      <c r="E47" s="17"/>
      <c r="F47" s="17"/>
      <c r="G47" s="22"/>
      <c r="H47" s="17"/>
      <c r="I47" s="22"/>
      <c r="J47" s="17"/>
      <c r="K47" s="15" t="str">
        <f aca="false">IF(C47="","",IF(COUNT(F47,H47,J47)&gt;0,"受講済","未受講"))</f>
        <v/>
      </c>
      <c r="L47" s="15" t="str">
        <f aca="false">IF(OR(C47="",D47="",$B$4=""),"",IF(D47&lt;$B$4,"対象外",IF(E47&lt;&gt;"","受講済","要確認")))</f>
        <v/>
      </c>
      <c r="M47" s="9"/>
    </row>
    <row r="48" customFormat="false" ht="15" hidden="false" customHeight="false" outlineLevel="0" collapsed="false">
      <c r="A48" s="15" t="n">
        <v>41</v>
      </c>
      <c r="B48" s="16"/>
      <c r="C48" s="9"/>
      <c r="D48" s="17"/>
      <c r="E48" s="17"/>
      <c r="F48" s="17"/>
      <c r="G48" s="22"/>
      <c r="H48" s="17"/>
      <c r="I48" s="22"/>
      <c r="J48" s="17"/>
      <c r="K48" s="15" t="str">
        <f aca="false">IF(C48="","",IF(COUNT(F48,H48,J48)&gt;0,"受講済","未受講"))</f>
        <v/>
      </c>
      <c r="L48" s="15" t="str">
        <f aca="false">IF(OR(C48="",D48="",$B$4=""),"",IF(D48&lt;$B$4,"対象外",IF(E48&lt;&gt;"","受講済","要確認")))</f>
        <v/>
      </c>
      <c r="M48" s="9"/>
    </row>
    <row r="49" customFormat="false" ht="15" hidden="false" customHeight="false" outlineLevel="0" collapsed="false">
      <c r="A49" s="15" t="n">
        <v>42</v>
      </c>
      <c r="B49" s="16"/>
      <c r="C49" s="9"/>
      <c r="D49" s="17"/>
      <c r="E49" s="17"/>
      <c r="F49" s="17"/>
      <c r="G49" s="22"/>
      <c r="H49" s="17"/>
      <c r="I49" s="22"/>
      <c r="J49" s="17"/>
      <c r="K49" s="15" t="str">
        <f aca="false">IF(C49="","",IF(COUNT(F49,H49,J49)&gt;0,"受講済","未受講"))</f>
        <v/>
      </c>
      <c r="L49" s="15" t="str">
        <f aca="false">IF(OR(C49="",D49="",$B$4=""),"",IF(D49&lt;$B$4,"対象外",IF(E49&lt;&gt;"","受講済","要確認")))</f>
        <v/>
      </c>
      <c r="M49" s="9"/>
    </row>
    <row r="50" customFormat="false" ht="15" hidden="false" customHeight="false" outlineLevel="0" collapsed="false">
      <c r="A50" s="15" t="n">
        <v>43</v>
      </c>
      <c r="B50" s="16"/>
      <c r="C50" s="9"/>
      <c r="D50" s="17"/>
      <c r="E50" s="17"/>
      <c r="F50" s="17"/>
      <c r="G50" s="22"/>
      <c r="H50" s="17"/>
      <c r="I50" s="22"/>
      <c r="J50" s="17"/>
      <c r="K50" s="15" t="str">
        <f aca="false">IF(C50="","",IF(COUNT(F50,H50,J50)&gt;0,"受講済","未受講"))</f>
        <v/>
      </c>
      <c r="L50" s="15" t="str">
        <f aca="false">IF(OR(C50="",D50="",$B$4=""),"",IF(D50&lt;$B$4,"対象外",IF(E50&lt;&gt;"","受講済","要確認")))</f>
        <v/>
      </c>
      <c r="M50" s="9"/>
    </row>
    <row r="51" customFormat="false" ht="15" hidden="false" customHeight="false" outlineLevel="0" collapsed="false">
      <c r="A51" s="15" t="n">
        <v>44</v>
      </c>
      <c r="B51" s="16"/>
      <c r="C51" s="9"/>
      <c r="D51" s="17"/>
      <c r="E51" s="17"/>
      <c r="F51" s="17"/>
      <c r="G51" s="22"/>
      <c r="H51" s="17"/>
      <c r="I51" s="22"/>
      <c r="J51" s="17"/>
      <c r="K51" s="15" t="str">
        <f aca="false">IF(C51="","",IF(COUNT(F51,H51,J51)&gt;0,"受講済","未受講"))</f>
        <v/>
      </c>
      <c r="L51" s="15" t="str">
        <f aca="false">IF(OR(C51="",D51="",$B$4=""),"",IF(D51&lt;$B$4,"対象外",IF(E51&lt;&gt;"","受講済","要確認")))</f>
        <v/>
      </c>
      <c r="M51" s="9"/>
    </row>
    <row r="52" customFormat="false" ht="15" hidden="false" customHeight="false" outlineLevel="0" collapsed="false">
      <c r="A52" s="15" t="n">
        <v>45</v>
      </c>
      <c r="B52" s="16"/>
      <c r="C52" s="9"/>
      <c r="D52" s="17"/>
      <c r="E52" s="17"/>
      <c r="F52" s="17"/>
      <c r="G52" s="22"/>
      <c r="H52" s="17"/>
      <c r="I52" s="22"/>
      <c r="J52" s="17"/>
      <c r="K52" s="15" t="str">
        <f aca="false">IF(C52="","",IF(COUNT(F52,H52,J52)&gt;0,"受講済","未受講"))</f>
        <v/>
      </c>
      <c r="L52" s="15" t="str">
        <f aca="false">IF(OR(C52="",D52="",$B$4=""),"",IF(D52&lt;$B$4,"対象外",IF(E52&lt;&gt;"","受講済","要確認")))</f>
        <v/>
      </c>
      <c r="M52" s="9"/>
    </row>
    <row r="53" customFormat="false" ht="15" hidden="false" customHeight="false" outlineLevel="0" collapsed="false">
      <c r="A53" s="15" t="n">
        <v>46</v>
      </c>
      <c r="B53" s="16"/>
      <c r="C53" s="9"/>
      <c r="D53" s="17"/>
      <c r="E53" s="17"/>
      <c r="F53" s="17"/>
      <c r="G53" s="22"/>
      <c r="H53" s="17"/>
      <c r="I53" s="22"/>
      <c r="J53" s="17"/>
      <c r="K53" s="15" t="str">
        <f aca="false">IF(C53="","",IF(COUNT(F53,H53,J53)&gt;0,"受講済","未受講"))</f>
        <v/>
      </c>
      <c r="L53" s="15" t="str">
        <f aca="false">IF(OR(C53="",D53="",$B$4=""),"",IF(D53&lt;$B$4,"対象外",IF(E53&lt;&gt;"","受講済","要確認")))</f>
        <v/>
      </c>
      <c r="M53" s="9"/>
    </row>
    <row r="54" customFormat="false" ht="15" hidden="false" customHeight="false" outlineLevel="0" collapsed="false">
      <c r="A54" s="15" t="n">
        <v>47</v>
      </c>
      <c r="B54" s="16"/>
      <c r="C54" s="9"/>
      <c r="D54" s="17"/>
      <c r="E54" s="17"/>
      <c r="F54" s="17"/>
      <c r="G54" s="22"/>
      <c r="H54" s="17"/>
      <c r="I54" s="22"/>
      <c r="J54" s="17"/>
      <c r="K54" s="15" t="str">
        <f aca="false">IF(C54="","",IF(COUNT(F54,H54,J54)&gt;0,"受講済","未受講"))</f>
        <v/>
      </c>
      <c r="L54" s="15" t="str">
        <f aca="false">IF(OR(C54="",D54="",$B$4=""),"",IF(D54&lt;$B$4,"対象外",IF(E54&lt;&gt;"","受講済","要確認")))</f>
        <v/>
      </c>
      <c r="M54" s="9"/>
    </row>
    <row r="55" customFormat="false" ht="15" hidden="false" customHeight="false" outlineLevel="0" collapsed="false">
      <c r="A55" s="15" t="n">
        <v>48</v>
      </c>
      <c r="B55" s="16"/>
      <c r="C55" s="9"/>
      <c r="D55" s="17"/>
      <c r="E55" s="17"/>
      <c r="F55" s="17"/>
      <c r="G55" s="22"/>
      <c r="H55" s="17"/>
      <c r="I55" s="22"/>
      <c r="J55" s="17"/>
      <c r="K55" s="15" t="str">
        <f aca="false">IF(C55="","",IF(COUNT(F55,H55,J55)&gt;0,"受講済","未受講"))</f>
        <v/>
      </c>
      <c r="L55" s="15" t="str">
        <f aca="false">IF(OR(C55="",D55="",$B$4=""),"",IF(D55&lt;$B$4,"対象外",IF(E55&lt;&gt;"","受講済","要確認")))</f>
        <v/>
      </c>
      <c r="M55" s="9"/>
    </row>
    <row r="56" customFormat="false" ht="15" hidden="false" customHeight="false" outlineLevel="0" collapsed="false">
      <c r="A56" s="15" t="n">
        <v>49</v>
      </c>
      <c r="B56" s="16"/>
      <c r="C56" s="9"/>
      <c r="D56" s="17"/>
      <c r="E56" s="17"/>
      <c r="F56" s="17"/>
      <c r="G56" s="22"/>
      <c r="H56" s="17"/>
      <c r="I56" s="22"/>
      <c r="J56" s="17"/>
      <c r="K56" s="15" t="str">
        <f aca="false">IF(C56="","",IF(COUNT(F56,H56,J56)&gt;0,"受講済","未受講"))</f>
        <v/>
      </c>
      <c r="L56" s="15" t="str">
        <f aca="false">IF(OR(C56="",D56="",$B$4=""),"",IF(D56&lt;$B$4,"対象外",IF(E56&lt;&gt;"","受講済","要確認")))</f>
        <v/>
      </c>
      <c r="M56" s="9"/>
    </row>
    <row r="57" customFormat="false" ht="15" hidden="false" customHeight="false" outlineLevel="0" collapsed="false">
      <c r="A57" s="15" t="n">
        <v>50</v>
      </c>
      <c r="B57" s="16"/>
      <c r="C57" s="9"/>
      <c r="D57" s="17"/>
      <c r="E57" s="17"/>
      <c r="F57" s="17"/>
      <c r="G57" s="22"/>
      <c r="H57" s="17"/>
      <c r="I57" s="22"/>
      <c r="J57" s="17"/>
      <c r="K57" s="15" t="str">
        <f aca="false">IF(C57="","",IF(COUNT(F57,H57,J57)&gt;0,"受講済","未受講"))</f>
        <v/>
      </c>
      <c r="L57" s="15" t="str">
        <f aca="false">IF(OR(C57="",D57="",$B$4=""),"",IF(D57&lt;$B$4,"対象外",IF(E57&lt;&gt;"","受講済","要確認")))</f>
        <v/>
      </c>
      <c r="M57" s="9"/>
    </row>
  </sheetData>
  <mergeCells count="1">
    <mergeCell ref="B3:D3"/>
  </mergeCells>
  <conditionalFormatting sqref="K8:K57">
    <cfRule type="expression" priority="2" aboveAverage="0" equalAverage="0" bottom="0" percent="0" rank="0" text="" dxfId="0">
      <formula>K8="未受講"</formula>
    </cfRule>
  </conditionalFormatting>
  <conditionalFormatting sqref="L8:L57">
    <cfRule type="expression" priority="3" aboveAverage="0" equalAverage="0" bottom="0" percent="0" rank="0" text="" dxfId="1">
      <formula>L8="要確認"</formula>
    </cfRule>
  </conditionalFormatting>
  <dataValidations count="1">
    <dataValidation allowBlank="true" errorStyle="stop" operator="between" showDropDown="false" showErrorMessage="false" showInputMessage="false" sqref="G8:G57 I8:I57" type="list">
      <formula1>"集合,オンライン,動画視聴,後日フォロー,その他"</formula1>
      <formula2>0</formula2>
    </dataValidation>
  </dataValidations>
  <printOptions headings="false" gridLines="false" gridLinesSet="true" horizontalCentered="false" verticalCentered="false"/>
  <pageMargins left="0.6" right="0.6" top="0.7" bottom="0.7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1"/>
    <col collapsed="false" customWidth="true" hidden="false" outlineLevel="0" max="3" min="3" style="0" width="30"/>
    <col collapsed="false" customWidth="true" hidden="false" outlineLevel="0" max="4" min="4" style="0" width="13"/>
    <col collapsed="false" customWidth="true" hidden="false" outlineLevel="0" max="5" min="5" style="0" width="12"/>
    <col collapsed="false" customWidth="true" hidden="false" outlineLevel="0" max="6" min="6" style="0" width="22"/>
    <col collapsed="false" customWidth="true" hidden="false" outlineLevel="0" max="7" min="7" style="0" width="9"/>
    <col collapsed="false" customWidth="true" hidden="false" outlineLevel="0" max="8" min="8" style="0" width="11"/>
    <col collapsed="false" customWidth="true" hidden="false" outlineLevel="0" max="9" min="9" style="0" width="13"/>
    <col collapsed="false" customWidth="true" hidden="false" outlineLevel="0" max="10" min="10" style="0" width="26"/>
  </cols>
  <sheetData>
    <row r="1" customFormat="false" ht="16.15" hidden="false" customHeight="false" outlineLevel="0" collapsed="false">
      <c r="A1" s="5" t="s">
        <v>83</v>
      </c>
    </row>
    <row r="2" customFormat="false" ht="15" hidden="false" customHeight="false" outlineLevel="0" collapsed="false">
      <c r="A2" s="6" t="s">
        <v>84</v>
      </c>
    </row>
    <row r="3" customFormat="false" ht="16.4" hidden="false" customHeight="true" outlineLevel="0" collapsed="false">
      <c r="A3" s="8" t="s">
        <v>44</v>
      </c>
      <c r="B3" s="18" t="n">
        <f aca="false">IF(記入例_受講管理表!B4="","",記入例_受講管理表!B4)</f>
        <v>46113</v>
      </c>
      <c r="C3" s="18" t="n">
        <f aca="false">IF(記入例_受講管理表!D4="","",記入例_受講管理表!D4)</f>
        <v>46477</v>
      </c>
      <c r="E3" s="7" t="s">
        <v>45</v>
      </c>
      <c r="F3" s="7"/>
      <c r="G3" s="19" t="n">
        <f aca="false">IF(B3="","",COUNTIFS(D7:D30,"定期研修",B7:B30,"&gt;="&amp;B3,B7:B30,"&lt;="&amp;C3))</f>
        <v>1</v>
      </c>
      <c r="H3" s="6" t="s">
        <v>46</v>
      </c>
    </row>
    <row r="6" customFormat="false" ht="15" hidden="false" customHeight="false" outlineLevel="0" collapsed="false">
      <c r="A6" s="7" t="s">
        <v>47</v>
      </c>
      <c r="B6" s="7" t="s">
        <v>48</v>
      </c>
      <c r="C6" s="7" t="s">
        <v>49</v>
      </c>
      <c r="D6" s="7" t="s">
        <v>50</v>
      </c>
      <c r="E6" s="7" t="s">
        <v>51</v>
      </c>
      <c r="F6" s="7" t="s">
        <v>52</v>
      </c>
      <c r="G6" s="7" t="s">
        <v>53</v>
      </c>
      <c r="H6" s="7" t="s">
        <v>54</v>
      </c>
      <c r="I6" s="7" t="s">
        <v>55</v>
      </c>
      <c r="J6" s="7" t="s">
        <v>41</v>
      </c>
    </row>
    <row r="7" customFormat="false" ht="26.85" hidden="false" customHeight="false" outlineLevel="0" collapsed="false">
      <c r="A7" s="15" t="n">
        <v>1</v>
      </c>
      <c r="B7" s="17" t="n">
        <v>46183</v>
      </c>
      <c r="C7" s="21" t="s">
        <v>85</v>
      </c>
      <c r="D7" s="22" t="s">
        <v>86</v>
      </c>
      <c r="E7" s="22" t="s">
        <v>61</v>
      </c>
      <c r="F7" s="21" t="s">
        <v>87</v>
      </c>
      <c r="G7" s="20" t="n">
        <v>10</v>
      </c>
      <c r="H7" s="17" t="n">
        <v>46185</v>
      </c>
      <c r="I7" s="17" t="n">
        <v>46197</v>
      </c>
      <c r="J7" s="21" t="s">
        <v>88</v>
      </c>
    </row>
    <row r="8" customFormat="false" ht="15" hidden="false" customHeight="false" outlineLevel="0" collapsed="false">
      <c r="A8" s="15" t="n">
        <v>2</v>
      </c>
      <c r="B8" s="17" t="n">
        <v>46237</v>
      </c>
      <c r="C8" s="21" t="s">
        <v>89</v>
      </c>
      <c r="D8" s="22" t="s">
        <v>90</v>
      </c>
      <c r="E8" s="22" t="s">
        <v>61</v>
      </c>
      <c r="F8" s="21" t="s">
        <v>87</v>
      </c>
      <c r="G8" s="20" t="n">
        <v>1</v>
      </c>
      <c r="H8" s="17" t="n">
        <v>46237</v>
      </c>
      <c r="I8" s="17" t="n">
        <v>46289</v>
      </c>
      <c r="J8" s="21" t="s">
        <v>79</v>
      </c>
    </row>
    <row r="9" customFormat="false" ht="15" hidden="false" customHeight="false" outlineLevel="0" collapsed="false">
      <c r="A9" s="15" t="n">
        <v>3</v>
      </c>
      <c r="B9" s="17"/>
      <c r="C9" s="9"/>
      <c r="D9" s="16"/>
      <c r="E9" s="16"/>
      <c r="F9" s="9"/>
      <c r="G9" s="20"/>
      <c r="H9" s="17"/>
      <c r="I9" s="17"/>
      <c r="J9" s="9"/>
    </row>
    <row r="10" customFormat="false" ht="15" hidden="false" customHeight="false" outlineLevel="0" collapsed="false">
      <c r="A10" s="15" t="n">
        <v>4</v>
      </c>
      <c r="B10" s="17"/>
      <c r="C10" s="9"/>
      <c r="D10" s="16"/>
      <c r="E10" s="16"/>
      <c r="F10" s="9"/>
      <c r="G10" s="20"/>
      <c r="H10" s="17"/>
      <c r="I10" s="17"/>
      <c r="J10" s="9"/>
    </row>
    <row r="11" customFormat="false" ht="15" hidden="false" customHeight="false" outlineLevel="0" collapsed="false">
      <c r="A11" s="15" t="n">
        <v>5</v>
      </c>
      <c r="B11" s="17"/>
      <c r="C11" s="9"/>
      <c r="D11" s="16"/>
      <c r="E11" s="16"/>
      <c r="F11" s="9"/>
      <c r="G11" s="20"/>
      <c r="H11" s="17"/>
      <c r="I11" s="17"/>
      <c r="J11" s="9"/>
    </row>
    <row r="12" customFormat="false" ht="15" hidden="false" customHeight="false" outlineLevel="0" collapsed="false">
      <c r="A12" s="15" t="n">
        <v>6</v>
      </c>
      <c r="B12" s="17"/>
      <c r="C12" s="9"/>
      <c r="D12" s="16"/>
      <c r="E12" s="16"/>
      <c r="F12" s="9"/>
      <c r="G12" s="20"/>
      <c r="H12" s="17"/>
      <c r="I12" s="17"/>
      <c r="J12" s="9"/>
    </row>
    <row r="13" customFormat="false" ht="15" hidden="false" customHeight="false" outlineLevel="0" collapsed="false">
      <c r="A13" s="15" t="n">
        <v>7</v>
      </c>
      <c r="B13" s="17"/>
      <c r="C13" s="9"/>
      <c r="D13" s="16"/>
      <c r="E13" s="16"/>
      <c r="F13" s="9"/>
      <c r="G13" s="20"/>
      <c r="H13" s="17"/>
      <c r="I13" s="17"/>
      <c r="J13" s="9"/>
    </row>
    <row r="14" customFormat="false" ht="15" hidden="false" customHeight="false" outlineLevel="0" collapsed="false">
      <c r="A14" s="15" t="n">
        <v>8</v>
      </c>
      <c r="B14" s="17"/>
      <c r="C14" s="9"/>
      <c r="D14" s="16"/>
      <c r="E14" s="16"/>
      <c r="F14" s="9"/>
      <c r="G14" s="20"/>
      <c r="H14" s="17"/>
      <c r="I14" s="17"/>
      <c r="J14" s="9"/>
    </row>
    <row r="15" customFormat="false" ht="15" hidden="false" customHeight="false" outlineLevel="0" collapsed="false">
      <c r="A15" s="15" t="n">
        <v>9</v>
      </c>
      <c r="B15" s="17"/>
      <c r="C15" s="9"/>
      <c r="D15" s="16"/>
      <c r="E15" s="16"/>
      <c r="F15" s="9"/>
      <c r="G15" s="20"/>
      <c r="H15" s="17"/>
      <c r="I15" s="17"/>
      <c r="J15" s="9"/>
    </row>
    <row r="16" customFormat="false" ht="15" hidden="false" customHeight="false" outlineLevel="0" collapsed="false">
      <c r="A16" s="15" t="n">
        <v>10</v>
      </c>
      <c r="B16" s="17"/>
      <c r="C16" s="9"/>
      <c r="D16" s="16"/>
      <c r="E16" s="16"/>
      <c r="F16" s="9"/>
      <c r="G16" s="20"/>
      <c r="H16" s="17"/>
      <c r="I16" s="17"/>
      <c r="J16" s="9"/>
    </row>
    <row r="17" customFormat="false" ht="15" hidden="false" customHeight="false" outlineLevel="0" collapsed="false">
      <c r="A17" s="15" t="n">
        <v>11</v>
      </c>
      <c r="B17" s="17"/>
      <c r="C17" s="9"/>
      <c r="D17" s="16"/>
      <c r="E17" s="16"/>
      <c r="F17" s="9"/>
      <c r="G17" s="20"/>
      <c r="H17" s="17"/>
      <c r="I17" s="17"/>
      <c r="J17" s="9"/>
    </row>
    <row r="18" customFormat="false" ht="15" hidden="false" customHeight="false" outlineLevel="0" collapsed="false">
      <c r="A18" s="15" t="n">
        <v>12</v>
      </c>
      <c r="B18" s="17"/>
      <c r="C18" s="9"/>
      <c r="D18" s="16"/>
      <c r="E18" s="16"/>
      <c r="F18" s="9"/>
      <c r="G18" s="20"/>
      <c r="H18" s="17"/>
      <c r="I18" s="17"/>
      <c r="J18" s="9"/>
    </row>
    <row r="19" customFormat="false" ht="15" hidden="false" customHeight="false" outlineLevel="0" collapsed="false">
      <c r="A19" s="15" t="n">
        <v>13</v>
      </c>
      <c r="B19" s="17"/>
      <c r="C19" s="9"/>
      <c r="D19" s="16"/>
      <c r="E19" s="16"/>
      <c r="F19" s="9"/>
      <c r="G19" s="20"/>
      <c r="H19" s="17"/>
      <c r="I19" s="17"/>
      <c r="J19" s="9"/>
    </row>
    <row r="20" customFormat="false" ht="15" hidden="false" customHeight="false" outlineLevel="0" collapsed="false">
      <c r="A20" s="15" t="n">
        <v>14</v>
      </c>
      <c r="B20" s="17"/>
      <c r="C20" s="9"/>
      <c r="D20" s="16"/>
      <c r="E20" s="16"/>
      <c r="F20" s="9"/>
      <c r="G20" s="20"/>
      <c r="H20" s="17"/>
      <c r="I20" s="17"/>
      <c r="J20" s="9"/>
    </row>
    <row r="21" customFormat="false" ht="15" hidden="false" customHeight="false" outlineLevel="0" collapsed="false">
      <c r="A21" s="15" t="n">
        <v>15</v>
      </c>
      <c r="B21" s="17"/>
      <c r="C21" s="9"/>
      <c r="D21" s="16"/>
      <c r="E21" s="16"/>
      <c r="F21" s="9"/>
      <c r="G21" s="20"/>
      <c r="H21" s="17"/>
      <c r="I21" s="17"/>
      <c r="J21" s="9"/>
    </row>
    <row r="22" customFormat="false" ht="15" hidden="false" customHeight="false" outlineLevel="0" collapsed="false">
      <c r="A22" s="15" t="n">
        <v>16</v>
      </c>
      <c r="B22" s="17"/>
      <c r="C22" s="9"/>
      <c r="D22" s="16"/>
      <c r="E22" s="16"/>
      <c r="F22" s="9"/>
      <c r="G22" s="20"/>
      <c r="H22" s="17"/>
      <c r="I22" s="17"/>
      <c r="J22" s="9"/>
    </row>
    <row r="23" customFormat="false" ht="15" hidden="false" customHeight="false" outlineLevel="0" collapsed="false">
      <c r="A23" s="15" t="n">
        <v>17</v>
      </c>
      <c r="B23" s="17"/>
      <c r="C23" s="9"/>
      <c r="D23" s="16"/>
      <c r="E23" s="16"/>
      <c r="F23" s="9"/>
      <c r="G23" s="20"/>
      <c r="H23" s="17"/>
      <c r="I23" s="17"/>
      <c r="J23" s="9"/>
    </row>
    <row r="24" customFormat="false" ht="15" hidden="false" customHeight="false" outlineLevel="0" collapsed="false">
      <c r="A24" s="15" t="n">
        <v>18</v>
      </c>
      <c r="B24" s="17"/>
      <c r="C24" s="9"/>
      <c r="D24" s="16"/>
      <c r="E24" s="16"/>
      <c r="F24" s="9"/>
      <c r="G24" s="20"/>
      <c r="H24" s="17"/>
      <c r="I24" s="17"/>
      <c r="J24" s="9"/>
    </row>
    <row r="25" customFormat="false" ht="15" hidden="false" customHeight="false" outlineLevel="0" collapsed="false">
      <c r="A25" s="15" t="n">
        <v>19</v>
      </c>
      <c r="B25" s="17"/>
      <c r="C25" s="9"/>
      <c r="D25" s="16"/>
      <c r="E25" s="16"/>
      <c r="F25" s="9"/>
      <c r="G25" s="20"/>
      <c r="H25" s="17"/>
      <c r="I25" s="17"/>
      <c r="J25" s="9"/>
    </row>
    <row r="26" customFormat="false" ht="15" hidden="false" customHeight="false" outlineLevel="0" collapsed="false">
      <c r="A26" s="15" t="n">
        <v>20</v>
      </c>
      <c r="B26" s="17"/>
      <c r="C26" s="9"/>
      <c r="D26" s="16"/>
      <c r="E26" s="16"/>
      <c r="F26" s="9"/>
      <c r="G26" s="20"/>
      <c r="H26" s="17"/>
      <c r="I26" s="17"/>
      <c r="J26" s="9"/>
    </row>
    <row r="27" customFormat="false" ht="15" hidden="false" customHeight="false" outlineLevel="0" collapsed="false">
      <c r="A27" s="15" t="n">
        <v>21</v>
      </c>
      <c r="B27" s="17"/>
      <c r="C27" s="9"/>
      <c r="D27" s="16"/>
      <c r="E27" s="16"/>
      <c r="F27" s="9"/>
      <c r="G27" s="20"/>
      <c r="H27" s="17"/>
      <c r="I27" s="17"/>
      <c r="J27" s="9"/>
    </row>
    <row r="28" customFormat="false" ht="15" hidden="false" customHeight="false" outlineLevel="0" collapsed="false">
      <c r="A28" s="15" t="n">
        <v>22</v>
      </c>
      <c r="B28" s="17"/>
      <c r="C28" s="9"/>
      <c r="D28" s="16"/>
      <c r="E28" s="16"/>
      <c r="F28" s="9"/>
      <c r="G28" s="20"/>
      <c r="H28" s="17"/>
      <c r="I28" s="17"/>
      <c r="J28" s="9"/>
    </row>
    <row r="29" customFormat="false" ht="15" hidden="false" customHeight="false" outlineLevel="0" collapsed="false">
      <c r="A29" s="15" t="n">
        <v>23</v>
      </c>
      <c r="B29" s="17"/>
      <c r="C29" s="9"/>
      <c r="D29" s="16"/>
      <c r="E29" s="16"/>
      <c r="F29" s="9"/>
      <c r="G29" s="20"/>
      <c r="H29" s="17"/>
      <c r="I29" s="17"/>
      <c r="J29" s="9"/>
    </row>
    <row r="30" customFormat="false" ht="15" hidden="false" customHeight="false" outlineLevel="0" collapsed="false">
      <c r="A30" s="15" t="n">
        <v>24</v>
      </c>
      <c r="B30" s="17"/>
      <c r="C30" s="9"/>
      <c r="D30" s="16"/>
      <c r="E30" s="16"/>
      <c r="F30" s="9"/>
      <c r="G30" s="20"/>
      <c r="H30" s="17"/>
      <c r="I30" s="17"/>
      <c r="J30" s="9"/>
    </row>
  </sheetData>
  <mergeCells count="1">
    <mergeCell ref="E3:F3"/>
  </mergeCells>
  <dataValidations count="2">
    <dataValidation allowBlank="true" errorStyle="stop" operator="between" showDropDown="false" showErrorMessage="false" showInputMessage="false" sqref="D7:D30" type="list">
      <formula1>"定期研修,新規採用時研修,その他"</formula1>
      <formula2>0</formula2>
    </dataValidation>
    <dataValidation allowBlank="true" errorStyle="stop" operator="between" showDropDown="false" showErrorMessage="false" showInputMessage="false" sqref="E7:E30" type="list">
      <formula1>"集合,オンライン,動画視聴,後日フォロー,その他"</formula1>
      <formula2>0</formula2>
    </dataValidation>
  </dataValidations>
  <printOptions headings="false" gridLines="false" gridLinesSet="true" horizontalCentered="false" verticalCentered="false"/>
  <pageMargins left="0.6" right="0.6" top="0.7" bottom="0.7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0"/>
  </cols>
  <sheetData>
    <row r="1" customFormat="false" ht="21.75" hidden="false" customHeight="true" outlineLevel="0" collapsed="false">
      <c r="A1" s="1" t="s">
        <v>91</v>
      </c>
    </row>
    <row r="2" customFormat="false" ht="36" hidden="false" customHeight="true" outlineLevel="0" collapsed="false">
      <c r="A2" s="23" t="s">
        <v>92</v>
      </c>
    </row>
    <row r="3" customFormat="false" ht="36" hidden="false" customHeight="true" outlineLevel="0" collapsed="false">
      <c r="A3" s="23" t="s">
        <v>93</v>
      </c>
    </row>
    <row r="4" customFormat="false" ht="36" hidden="false" customHeight="true" outlineLevel="0" collapsed="false">
      <c r="A4" s="4" t="s">
        <v>94</v>
      </c>
    </row>
    <row r="5" customFormat="false" ht="36" hidden="false" customHeight="true" outlineLevel="0" collapsed="false">
      <c r="A5" s="4" t="s">
        <v>95</v>
      </c>
    </row>
    <row r="6" customFormat="false" ht="36" hidden="false" customHeight="true" outlineLevel="0" collapsed="false">
      <c r="A6" s="4" t="s">
        <v>96</v>
      </c>
    </row>
    <row r="7" customFormat="false" ht="36" hidden="false" customHeight="true" outlineLevel="0" collapsed="false">
      <c r="A7" s="23" t="s">
        <v>97</v>
      </c>
    </row>
    <row r="8" customFormat="false" ht="36" hidden="false" customHeight="true" outlineLevel="0" collapsed="false">
      <c r="A8" s="4" t="s">
        <v>98</v>
      </c>
    </row>
  </sheetData>
  <printOptions headings="false" gridLines="false" gridLinesSet="true" horizontalCentered="false" verticalCentered="false"/>
  <pageMargins left="0.6" right="0.6" top="0.7" bottom="0.7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2026-09-24T19:53:37Z</dcterms:created>
  <dc:creator>記録様式ひな形</dc:creator>
  <dc:description/>
  <cp:keywords>通所介護 デイサービス 感染症 研修 受講管理表 記録 Excel ひな形</cp:keywords>
  <dc:language>en-US</dc:language>
  <cp:lastModifiedBy/>
  <dcterms:modified xsi:type="dcterms:W3CDTF">2026-09-24T19:53:38Z</dcterms:modified>
  <cp:revision>0</cp:revision>
  <dc:subject/>
  <dc:title>通所介護 デイサービス 感染症研修 職員別 受講管理表 Excel 記入例付き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